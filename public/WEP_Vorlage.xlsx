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0" i="44" l="1"/>
  <c r="D3" i="44"/>
  <c r="G60" i="44"/>
  <c r="D60" i="44"/>
  <c r="G4" i="44"/>
  <c r="D4" i="44"/>
  <c r="K44" i="44"/>
  <c r="K43" i="44"/>
  <c r="K42" i="44"/>
  <c r="K41" i="44"/>
  <c r="K40" i="44"/>
  <c r="K39" i="44"/>
  <c r="K38" i="44"/>
  <c r="K37" i="44"/>
  <c r="K36" i="44"/>
  <c r="K35" i="44"/>
  <c r="K34" i="44"/>
  <c r="K45" i="44" s="1"/>
  <c r="E27" i="13" s="1"/>
  <c r="K23" i="44"/>
  <c r="K22" i="44"/>
  <c r="K20" i="44"/>
  <c r="K19" i="44"/>
  <c r="K18" i="44"/>
  <c r="K17" i="44"/>
  <c r="K16" i="44"/>
  <c r="K15" i="44"/>
  <c r="K14" i="44"/>
  <c r="K24" i="44" s="1"/>
  <c r="E26" i="13" s="1"/>
  <c r="K13" i="44"/>
  <c r="K12" i="44"/>
  <c r="I38" i="1" l="1"/>
  <c r="L35" i="8"/>
  <c r="L36" i="8"/>
  <c r="L37" i="8"/>
  <c r="L38" i="8"/>
  <c r="L33" i="6"/>
  <c r="L34" i="6"/>
  <c r="L35" i="6"/>
  <c r="L36" i="6"/>
  <c r="L37" i="6"/>
  <c r="L38" i="6"/>
  <c r="L21" i="7"/>
  <c r="L22" i="7"/>
  <c r="L23" i="7"/>
  <c r="L24" i="7"/>
  <c r="L25" i="7"/>
  <c r="E14" i="13" l="1"/>
  <c r="L10" i="7"/>
  <c r="L11" i="7"/>
  <c r="L12" i="7"/>
  <c r="L13" i="7"/>
  <c r="L14" i="7"/>
  <c r="L15" i="7"/>
  <c r="H104" i="1"/>
  <c r="E25" i="13" s="1"/>
  <c r="E50" i="42"/>
  <c r="C50" i="42"/>
  <c r="D4" i="42"/>
  <c r="F3" i="42"/>
  <c r="D3" i="42"/>
  <c r="G2" i="42"/>
  <c r="D2" i="42"/>
  <c r="F46" i="26" l="1"/>
  <c r="H48" i="8"/>
  <c r="E4" i="7" l="1"/>
  <c r="E3" i="7"/>
  <c r="L2" i="7"/>
  <c r="D2" i="7"/>
  <c r="E4" i="6"/>
  <c r="E3" i="6"/>
  <c r="L2" i="6"/>
  <c r="D2" i="6"/>
  <c r="E3" i="8"/>
  <c r="J3" i="8" s="1"/>
  <c r="E64" i="1" l="1"/>
  <c r="K79" i="1"/>
  <c r="L41" i="7"/>
  <c r="L42" i="7"/>
  <c r="L43" i="7"/>
  <c r="L44" i="7"/>
  <c r="L40" i="8"/>
  <c r="L41" i="8"/>
  <c r="L42" i="8"/>
  <c r="L43" i="8"/>
  <c r="L44" i="8" l="1"/>
  <c r="D3" i="37"/>
  <c r="D2" i="37"/>
  <c r="G2" i="37"/>
  <c r="F3" i="37"/>
  <c r="D4" i="37"/>
  <c r="C9" i="13"/>
  <c r="A1" i="26" l="1"/>
  <c r="C7" i="13"/>
  <c r="L20" i="6"/>
  <c r="L18" i="6" l="1"/>
  <c r="L19" i="6"/>
  <c r="L21" i="6"/>
  <c r="L22" i="6"/>
  <c r="L24" i="6"/>
  <c r="L25" i="6"/>
  <c r="L26" i="6"/>
  <c r="L27" i="6"/>
  <c r="L28" i="6"/>
  <c r="L29" i="6"/>
  <c r="L30" i="6"/>
  <c r="L31" i="6"/>
  <c r="L32" i="6"/>
  <c r="L39" i="6"/>
  <c r="E16" i="13" l="1"/>
  <c r="E13" i="13"/>
  <c r="E17" i="13" l="1"/>
  <c r="D58" i="1"/>
  <c r="D57" i="1"/>
  <c r="I56" i="1"/>
  <c r="D56" i="1"/>
  <c r="E4" i="1"/>
  <c r="I3" i="1"/>
  <c r="E3" i="1"/>
  <c r="I2" i="1"/>
  <c r="D2" i="1"/>
  <c r="E50" i="37"/>
  <c r="C50" i="37"/>
  <c r="D4" i="10"/>
  <c r="D3" i="10"/>
  <c r="G2" i="10"/>
  <c r="D2" i="10"/>
  <c r="E4" i="8"/>
  <c r="L2" i="8"/>
  <c r="D2" i="8"/>
  <c r="L39" i="7" l="1"/>
  <c r="G48" i="7"/>
  <c r="C48" i="7"/>
  <c r="C48" i="6"/>
  <c r="L27" i="7"/>
  <c r="L26" i="7"/>
  <c r="L20" i="7"/>
  <c r="L19" i="7"/>
  <c r="C108" i="1"/>
  <c r="C48" i="8"/>
  <c r="L45" i="6"/>
  <c r="L44" i="6"/>
  <c r="L43" i="6"/>
  <c r="L42" i="6"/>
  <c r="L41" i="6"/>
  <c r="L40" i="6"/>
  <c r="L23" i="6"/>
  <c r="L29" i="8"/>
  <c r="L23" i="8"/>
  <c r="L17" i="8"/>
  <c r="L15" i="8"/>
  <c r="L16" i="8"/>
  <c r="L46" i="6" l="1"/>
  <c r="C10" i="13"/>
  <c r="F101" i="1" l="1"/>
  <c r="J44" i="1"/>
  <c r="E43" i="1"/>
  <c r="E42" i="1"/>
  <c r="I41" i="1"/>
  <c r="C42" i="1" s="1"/>
  <c r="I42" i="1" l="1"/>
  <c r="C43" i="1" s="1"/>
  <c r="I43" i="1" s="1"/>
  <c r="H44" i="1" s="1"/>
  <c r="K44" i="1" s="1"/>
  <c r="E39" i="36" l="1"/>
  <c r="E38" i="36"/>
  <c r="E37" i="36"/>
  <c r="E36" i="36"/>
  <c r="E35" i="36"/>
  <c r="E34" i="36"/>
  <c r="E33" i="36"/>
  <c r="E32" i="36"/>
  <c r="E31" i="36"/>
  <c r="E30" i="36"/>
  <c r="E29" i="36"/>
  <c r="E28" i="36"/>
  <c r="E27" i="36"/>
  <c r="E26" i="36"/>
  <c r="E25" i="36"/>
  <c r="E24" i="36"/>
  <c r="E23" i="36"/>
  <c r="E22" i="36"/>
  <c r="E21" i="36"/>
  <c r="E20" i="36"/>
  <c r="E19" i="36"/>
  <c r="E18" i="36"/>
  <c r="E17" i="36"/>
  <c r="E16" i="36"/>
  <c r="E15" i="36"/>
  <c r="E14" i="36"/>
  <c r="E13" i="36"/>
  <c r="E12" i="36"/>
  <c r="E11" i="36"/>
  <c r="E10" i="36"/>
  <c r="E9" i="36"/>
  <c r="E8" i="36"/>
  <c r="E41" i="36" s="1"/>
  <c r="F48" i="35"/>
  <c r="F47"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51" i="35" s="1"/>
  <c r="H12" i="34"/>
  <c r="H17" i="34" s="1"/>
  <c r="H39" i="34"/>
  <c r="H38" i="34"/>
  <c r="H37" i="34"/>
  <c r="H36" i="34"/>
  <c r="H35" i="34"/>
  <c r="H34" i="34"/>
  <c r="H33" i="34"/>
  <c r="H40" i="34" s="1"/>
  <c r="H29" i="34"/>
  <c r="H28" i="34"/>
  <c r="H27" i="34"/>
  <c r="H26" i="34"/>
  <c r="H30" i="34" s="1"/>
  <c r="H25" i="34"/>
  <c r="H24" i="34"/>
  <c r="H23" i="34"/>
  <c r="H22" i="34"/>
  <c r="H21" i="34"/>
  <c r="H20" i="34"/>
  <c r="H16" i="34"/>
  <c r="H15" i="34"/>
  <c r="H14" i="34"/>
  <c r="H13" i="34"/>
  <c r="B27" i="32" l="1"/>
  <c r="I47" i="32" l="1"/>
  <c r="I43" i="32"/>
  <c r="I47" i="31"/>
  <c r="I45" i="32"/>
  <c r="E16" i="17"/>
  <c r="E49" i="31"/>
  <c r="J46" i="32"/>
  <c r="J49" i="31"/>
  <c r="I24" i="31"/>
  <c r="G63" i="1"/>
  <c r="I63" i="1" s="1"/>
  <c r="I73" i="31"/>
  <c r="I72" i="31"/>
  <c r="E67" i="1"/>
  <c r="I67" i="1" s="1"/>
  <c r="D68" i="1" s="1"/>
  <c r="I68" i="1" s="1"/>
  <c r="I103" i="27"/>
  <c r="I98" i="27"/>
  <c r="I93" i="27"/>
  <c r="I88" i="27"/>
  <c r="D100" i="27"/>
  <c r="F98" i="27" s="1"/>
  <c r="D95" i="27"/>
  <c r="D93" i="27" s="1"/>
  <c r="F21" i="1" s="1"/>
  <c r="D90" i="27"/>
  <c r="F88" i="27" s="1"/>
  <c r="J93" i="31"/>
  <c r="D112" i="27"/>
  <c r="D114" i="27" s="1"/>
  <c r="D117" i="27"/>
  <c r="D119" i="27" s="1"/>
  <c r="F5" i="27"/>
  <c r="B114" i="31"/>
  <c r="D114" i="31"/>
  <c r="B115" i="31"/>
  <c r="B116" i="31"/>
  <c r="B112" i="32"/>
  <c r="D111" i="32"/>
  <c r="D23" i="32"/>
  <c r="G3" i="32"/>
  <c r="G3" i="31"/>
  <c r="C19" i="19"/>
  <c r="C20" i="19"/>
  <c r="C21" i="19"/>
  <c r="C22" i="19"/>
  <c r="A16" i="19"/>
  <c r="E16" i="19"/>
  <c r="A17" i="19"/>
  <c r="D21" i="17"/>
  <c r="A19" i="20"/>
  <c r="A20" i="20"/>
  <c r="A21" i="20"/>
  <c r="A22" i="20"/>
  <c r="A23" i="20"/>
  <c r="A24" i="20"/>
  <c r="A25" i="20"/>
  <c r="A16" i="17"/>
  <c r="A17" i="17"/>
  <c r="A18" i="17"/>
  <c r="A19" i="17"/>
  <c r="A20" i="17"/>
  <c r="A21" i="17"/>
  <c r="A22" i="17"/>
  <c r="I113" i="32"/>
  <c r="F113" i="32"/>
  <c r="C113" i="32"/>
  <c r="K109" i="32"/>
  <c r="K107" i="32"/>
  <c r="H107" i="32"/>
  <c r="E105" i="32"/>
  <c r="K103" i="32"/>
  <c r="H98" i="32"/>
  <c r="B98" i="32"/>
  <c r="J97" i="32"/>
  <c r="H97" i="32"/>
  <c r="B97" i="32"/>
  <c r="J96" i="32"/>
  <c r="H96" i="32"/>
  <c r="B96" i="32"/>
  <c r="K95" i="32"/>
  <c r="B95" i="32"/>
  <c r="K94" i="32"/>
  <c r="B94" i="32"/>
  <c r="K93" i="32"/>
  <c r="H93" i="32"/>
  <c r="G93" i="32"/>
  <c r="F93" i="32"/>
  <c r="E93" i="32"/>
  <c r="B93" i="32"/>
  <c r="B92" i="32"/>
  <c r="B91" i="32"/>
  <c r="K90" i="32"/>
  <c r="H90" i="32"/>
  <c r="G90" i="32"/>
  <c r="F90" i="32"/>
  <c r="E90" i="32"/>
  <c r="B90" i="32"/>
  <c r="K89" i="32"/>
  <c r="G89" i="32"/>
  <c r="J88" i="32"/>
  <c r="B88" i="32"/>
  <c r="A88" i="32"/>
  <c r="K86" i="32"/>
  <c r="K84" i="32"/>
  <c r="B78" i="32"/>
  <c r="D77" i="32"/>
  <c r="B77" i="32"/>
  <c r="I75" i="32"/>
  <c r="B75" i="32"/>
  <c r="I74" i="32"/>
  <c r="H74" i="32"/>
  <c r="B74" i="32"/>
  <c r="I73" i="32"/>
  <c r="H73" i="32"/>
  <c r="B73" i="32"/>
  <c r="I72" i="32"/>
  <c r="H72" i="32"/>
  <c r="B72" i="32"/>
  <c r="I71" i="32"/>
  <c r="H71" i="32"/>
  <c r="B71" i="32"/>
  <c r="H70" i="32"/>
  <c r="F70" i="32"/>
  <c r="E70" i="32"/>
  <c r="C70" i="32"/>
  <c r="B70" i="32"/>
  <c r="H69" i="32"/>
  <c r="E69" i="32"/>
  <c r="C69" i="32"/>
  <c r="B69" i="32"/>
  <c r="H68" i="32"/>
  <c r="F68" i="32"/>
  <c r="E68" i="32"/>
  <c r="D68" i="32"/>
  <c r="C67" i="32"/>
  <c r="B67" i="32"/>
  <c r="H62" i="32"/>
  <c r="B51" i="32"/>
  <c r="D50" i="32"/>
  <c r="B50" i="32"/>
  <c r="K49" i="32"/>
  <c r="C49" i="32"/>
  <c r="B49" i="32"/>
  <c r="I48" i="32"/>
  <c r="H48" i="32"/>
  <c r="C48" i="32"/>
  <c r="B48" i="32"/>
  <c r="H47" i="32"/>
  <c r="C47" i="32"/>
  <c r="B47" i="32"/>
  <c r="B46" i="32"/>
  <c r="H45" i="32"/>
  <c r="G45" i="32"/>
  <c r="F45" i="32"/>
  <c r="C45" i="32"/>
  <c r="B45" i="32"/>
  <c r="H44" i="32"/>
  <c r="G44" i="32"/>
  <c r="F44" i="32"/>
  <c r="C44" i="32"/>
  <c r="B44" i="32"/>
  <c r="H43" i="32"/>
  <c r="G43" i="32"/>
  <c r="F43" i="32"/>
  <c r="C43" i="32"/>
  <c r="B43" i="32"/>
  <c r="H42" i="32"/>
  <c r="G42" i="32"/>
  <c r="F42" i="32"/>
  <c r="C42" i="32"/>
  <c r="B42" i="32"/>
  <c r="D26" i="32"/>
  <c r="B26" i="32"/>
  <c r="H24" i="32"/>
  <c r="F24" i="32"/>
  <c r="E24" i="32"/>
  <c r="D24" i="32"/>
  <c r="J23" i="32"/>
  <c r="G23" i="32"/>
  <c r="F23" i="32"/>
  <c r="E23" i="32"/>
  <c r="C23" i="32"/>
  <c r="H22" i="32"/>
  <c r="F22" i="32"/>
  <c r="D22" i="32"/>
  <c r="J21" i="32"/>
  <c r="F21" i="32"/>
  <c r="E21" i="32"/>
  <c r="D21" i="32"/>
  <c r="C21" i="32"/>
  <c r="H20" i="32"/>
  <c r="F20" i="32"/>
  <c r="D20" i="32"/>
  <c r="J19" i="32"/>
  <c r="F19" i="32"/>
  <c r="E19" i="32"/>
  <c r="D19" i="32"/>
  <c r="C19" i="32"/>
  <c r="H18" i="32"/>
  <c r="F18" i="32"/>
  <c r="D18" i="32"/>
  <c r="J17" i="32"/>
  <c r="F17" i="32"/>
  <c r="E17" i="32"/>
  <c r="D17" i="32"/>
  <c r="C17" i="32"/>
  <c r="J2" i="32"/>
  <c r="H63" i="32" s="1"/>
  <c r="D2" i="32"/>
  <c r="J1" i="32"/>
  <c r="E1" i="32"/>
  <c r="D63" i="32" s="1"/>
  <c r="H110" i="31"/>
  <c r="E108" i="31"/>
  <c r="K112" i="31"/>
  <c r="K110" i="31"/>
  <c r="K106" i="31"/>
  <c r="B97" i="31"/>
  <c r="B98" i="31"/>
  <c r="B99" i="31"/>
  <c r="H99" i="31"/>
  <c r="J99" i="31"/>
  <c r="B100" i="31"/>
  <c r="H100" i="31"/>
  <c r="J100" i="31"/>
  <c r="B101" i="31"/>
  <c r="H101" i="31"/>
  <c r="E96" i="31"/>
  <c r="F96" i="31"/>
  <c r="G96" i="31"/>
  <c r="H96" i="31"/>
  <c r="B96" i="31"/>
  <c r="B94" i="31"/>
  <c r="B95" i="31"/>
  <c r="G93" i="31"/>
  <c r="E93" i="31"/>
  <c r="B93" i="31"/>
  <c r="F93" i="31"/>
  <c r="H93" i="31"/>
  <c r="G92" i="31"/>
  <c r="B91" i="31"/>
  <c r="A91" i="31"/>
  <c r="J91" i="31"/>
  <c r="K92" i="31"/>
  <c r="K93" i="31"/>
  <c r="K96" i="31"/>
  <c r="K97" i="31"/>
  <c r="K87" i="31"/>
  <c r="K89" i="31"/>
  <c r="B80" i="31"/>
  <c r="D80" i="31"/>
  <c r="B81" i="31"/>
  <c r="B70" i="31"/>
  <c r="C70" i="31"/>
  <c r="D71" i="31"/>
  <c r="E71" i="31"/>
  <c r="F71" i="31"/>
  <c r="H71" i="31"/>
  <c r="B72" i="31"/>
  <c r="C72" i="31"/>
  <c r="E72" i="31"/>
  <c r="H72" i="31"/>
  <c r="B73" i="31"/>
  <c r="C73" i="31"/>
  <c r="E73" i="31"/>
  <c r="F73" i="31"/>
  <c r="H73" i="31"/>
  <c r="B74" i="31"/>
  <c r="H74" i="31"/>
  <c r="I74" i="31"/>
  <c r="B75" i="31"/>
  <c r="H75" i="31"/>
  <c r="I75" i="31"/>
  <c r="B76" i="31"/>
  <c r="H76" i="31"/>
  <c r="I76" i="31"/>
  <c r="B77" i="31"/>
  <c r="H77" i="31"/>
  <c r="I77" i="31"/>
  <c r="B78" i="31"/>
  <c r="I78" i="31"/>
  <c r="B53" i="31"/>
  <c r="D53" i="31"/>
  <c r="B54" i="31"/>
  <c r="B45" i="31"/>
  <c r="C45" i="31"/>
  <c r="F45" i="31"/>
  <c r="G45" i="31"/>
  <c r="H45" i="31"/>
  <c r="B46" i="31"/>
  <c r="C46" i="31"/>
  <c r="F46" i="31"/>
  <c r="G46" i="31"/>
  <c r="H46" i="31"/>
  <c r="B47" i="31"/>
  <c r="C47" i="31"/>
  <c r="F47" i="31"/>
  <c r="G47" i="31"/>
  <c r="H47" i="31"/>
  <c r="B48" i="31"/>
  <c r="C48" i="31"/>
  <c r="F48" i="31"/>
  <c r="G48" i="31"/>
  <c r="H48" i="31"/>
  <c r="B49" i="31"/>
  <c r="B50" i="31"/>
  <c r="C50" i="31"/>
  <c r="H50" i="31"/>
  <c r="B51" i="31"/>
  <c r="C51" i="31"/>
  <c r="H51" i="31"/>
  <c r="I51" i="31"/>
  <c r="B52" i="31"/>
  <c r="C52" i="31"/>
  <c r="K52" i="31"/>
  <c r="B26" i="31"/>
  <c r="D26" i="31"/>
  <c r="B27" i="31"/>
  <c r="C17" i="31"/>
  <c r="D17" i="31"/>
  <c r="E17" i="31"/>
  <c r="F17" i="31"/>
  <c r="J17" i="31"/>
  <c r="D18" i="31"/>
  <c r="F18" i="31"/>
  <c r="H18" i="31"/>
  <c r="C19" i="31"/>
  <c r="D19" i="31"/>
  <c r="E19" i="31"/>
  <c r="F19" i="31"/>
  <c r="J19" i="31"/>
  <c r="D20" i="31"/>
  <c r="F20" i="31"/>
  <c r="H20" i="31"/>
  <c r="C21" i="31"/>
  <c r="D21" i="31"/>
  <c r="E21" i="31"/>
  <c r="F21" i="31"/>
  <c r="J21" i="31"/>
  <c r="D22" i="31"/>
  <c r="F22" i="31"/>
  <c r="H22" i="31"/>
  <c r="C23" i="31"/>
  <c r="D23" i="31"/>
  <c r="E23" i="31"/>
  <c r="F23" i="31"/>
  <c r="G23" i="31"/>
  <c r="J23" i="31"/>
  <c r="D24" i="31"/>
  <c r="E24" i="31"/>
  <c r="F24" i="31"/>
  <c r="H24" i="31"/>
  <c r="I121" i="31"/>
  <c r="F121" i="31"/>
  <c r="C121" i="31"/>
  <c r="H65" i="31"/>
  <c r="J2" i="31"/>
  <c r="H66" i="31" s="1"/>
  <c r="D2" i="31"/>
  <c r="J1" i="31"/>
  <c r="E1" i="31"/>
  <c r="D66" i="31" s="1"/>
  <c r="D122" i="27"/>
  <c r="D124" i="27" s="1"/>
  <c r="I96" i="31"/>
  <c r="I68" i="32"/>
  <c r="B103" i="27"/>
  <c r="B98" i="27"/>
  <c r="B93" i="27"/>
  <c r="B88" i="27"/>
  <c r="D105" i="27"/>
  <c r="B105" i="27" s="1"/>
  <c r="C49" i="1" s="1"/>
  <c r="H49" i="1" s="1"/>
  <c r="C50" i="1" s="1"/>
  <c r="N45" i="1"/>
  <c r="N17" i="1" s="1"/>
  <c r="N46" i="1"/>
  <c r="N18" i="1" s="1"/>
  <c r="N47" i="1"/>
  <c r="N19" i="1" s="1"/>
  <c r="N48" i="1"/>
  <c r="N21" i="1" s="1"/>
  <c r="N49" i="1"/>
  <c r="N22" i="1" s="1"/>
  <c r="N50" i="1"/>
  <c r="N24" i="1" s="1"/>
  <c r="N51" i="1"/>
  <c r="N25" i="1" s="1"/>
  <c r="N52" i="1"/>
  <c r="N26" i="1" s="1"/>
  <c r="N53" i="1"/>
  <c r="N27" i="1" s="1"/>
  <c r="N54" i="1"/>
  <c r="N28" i="1" s="1"/>
  <c r="N55" i="1"/>
  <c r="N29" i="1" s="1"/>
  <c r="N58" i="1"/>
  <c r="N31" i="1" s="1"/>
  <c r="N61" i="1"/>
  <c r="N32" i="1" s="1"/>
  <c r="N62" i="1"/>
  <c r="N33" i="1" s="1"/>
  <c r="N63" i="1"/>
  <c r="N34" i="1" s="1"/>
  <c r="N64" i="1"/>
  <c r="N65" i="1"/>
  <c r="N35" i="1" s="1"/>
  <c r="N66" i="1"/>
  <c r="J26" i="1"/>
  <c r="J17" i="1"/>
  <c r="J35" i="1"/>
  <c r="C75" i="1"/>
  <c r="F75" i="1" s="1"/>
  <c r="K75" i="1" s="1"/>
  <c r="E16" i="1"/>
  <c r="E34" i="1" s="1"/>
  <c r="E51" i="1"/>
  <c r="J52" i="1"/>
  <c r="A102" i="1"/>
  <c r="E1" i="26"/>
  <c r="E2" i="26"/>
  <c r="L24" i="8"/>
  <c r="L27" i="8"/>
  <c r="G6" i="10"/>
  <c r="G10" i="20"/>
  <c r="G8" i="19"/>
  <c r="G8" i="17"/>
  <c r="C11" i="13"/>
  <c r="C9" i="17"/>
  <c r="C9" i="19"/>
  <c r="C11" i="20"/>
  <c r="D12" i="20"/>
  <c r="D10" i="19"/>
  <c r="D10" i="17"/>
  <c r="D13" i="20"/>
  <c r="D11" i="19"/>
  <c r="D14" i="20"/>
  <c r="D15" i="20"/>
  <c r="D12" i="19"/>
  <c r="D12" i="17"/>
  <c r="E15" i="13"/>
  <c r="D16" i="20"/>
  <c r="D13" i="19"/>
  <c r="D13" i="17"/>
  <c r="C7" i="20"/>
  <c r="C6" i="20"/>
  <c r="C8" i="20"/>
  <c r="C6" i="19"/>
  <c r="C6" i="17"/>
  <c r="C8" i="19"/>
  <c r="C8" i="17"/>
  <c r="C9" i="20"/>
  <c r="C7" i="19"/>
  <c r="C7" i="17"/>
  <c r="C8" i="13"/>
  <c r="H48" i="6"/>
  <c r="F108" i="1"/>
  <c r="D11" i="17"/>
  <c r="C10" i="20"/>
  <c r="L32" i="8"/>
  <c r="L31" i="8"/>
  <c r="L30" i="8"/>
  <c r="L19" i="8"/>
  <c r="L20" i="8"/>
  <c r="B49" i="10"/>
  <c r="E49" i="10" s="1"/>
  <c r="B50" i="10" s="1"/>
  <c r="F50" i="10" s="1"/>
  <c r="D10" i="10" s="1"/>
  <c r="L18" i="8"/>
  <c r="L21" i="8"/>
  <c r="L22" i="8"/>
  <c r="L25" i="8"/>
  <c r="L26" i="8"/>
  <c r="L28" i="8"/>
  <c r="L33" i="8"/>
  <c r="L34" i="8"/>
  <c r="L39" i="8"/>
  <c r="L45" i="8"/>
  <c r="L16" i="7"/>
  <c r="L17" i="7"/>
  <c r="L18" i="7"/>
  <c r="L28" i="7"/>
  <c r="L29" i="7"/>
  <c r="L30" i="7"/>
  <c r="L31" i="7"/>
  <c r="L32" i="7"/>
  <c r="L33" i="7"/>
  <c r="L34" i="7"/>
  <c r="L35" i="7"/>
  <c r="L36" i="7"/>
  <c r="L37" i="7"/>
  <c r="L38" i="7"/>
  <c r="L40" i="7"/>
  <c r="L45" i="7"/>
  <c r="E70" i="1"/>
  <c r="E25" i="1"/>
  <c r="H79" i="1"/>
  <c r="E79" i="1"/>
  <c r="I100" i="27" l="1"/>
  <c r="E33" i="1" s="1"/>
  <c r="D98" i="27"/>
  <c r="F30" i="1" s="1"/>
  <c r="F93" i="27"/>
  <c r="I95" i="27" s="1"/>
  <c r="E24" i="1" s="1"/>
  <c r="I45" i="31"/>
  <c r="I48" i="31"/>
  <c r="I69" i="32"/>
  <c r="I50" i="31"/>
  <c r="I46" i="31"/>
  <c r="I42" i="32"/>
  <c r="L9" i="7"/>
  <c r="L46" i="7" s="1"/>
  <c r="L46" i="8"/>
  <c r="E22" i="13" s="1"/>
  <c r="D17" i="17" s="1"/>
  <c r="B95" i="27"/>
  <c r="C23" i="1" s="1"/>
  <c r="H23" i="1" s="1"/>
  <c r="D88" i="27"/>
  <c r="F12" i="1" s="1"/>
  <c r="J90" i="32"/>
  <c r="I24" i="32"/>
  <c r="C18" i="32"/>
  <c r="I18" i="32"/>
  <c r="I93" i="32"/>
  <c r="B90" i="27"/>
  <c r="C14" i="1" s="1"/>
  <c r="H14" i="1" s="1"/>
  <c r="C15" i="1" s="1"/>
  <c r="D103" i="27"/>
  <c r="F47" i="1" s="1"/>
  <c r="F103" i="27"/>
  <c r="I105" i="27" s="1"/>
  <c r="E50" i="1" s="1"/>
  <c r="H50" i="1" s="1"/>
  <c r="C51" i="1" s="1"/>
  <c r="H51" i="1" s="1"/>
  <c r="C52" i="1" s="1"/>
  <c r="E52" i="1" s="1"/>
  <c r="K52" i="1" s="1"/>
  <c r="I90" i="27"/>
  <c r="C22" i="32"/>
  <c r="C24" i="32"/>
  <c r="C22" i="31"/>
  <c r="C24" i="31"/>
  <c r="C20" i="31"/>
  <c r="C20" i="32"/>
  <c r="B100" i="27"/>
  <c r="C32" i="1" s="1"/>
  <c r="H32" i="1" s="1"/>
  <c r="E46" i="32"/>
  <c r="C18" i="31"/>
  <c r="I44" i="32"/>
  <c r="I71" i="31"/>
  <c r="I70" i="32"/>
  <c r="I64" i="1" l="1"/>
  <c r="C70" i="1" s="1"/>
  <c r="I70" i="1" s="1"/>
  <c r="H71" i="1" s="1"/>
  <c r="K71" i="1" s="1"/>
  <c r="E15" i="1"/>
  <c r="H15" i="1" s="1"/>
  <c r="E23" i="13"/>
  <c r="D18" i="17" s="1"/>
  <c r="D20" i="20"/>
  <c r="D17" i="19"/>
  <c r="C24" i="1"/>
  <c r="H24" i="1" s="1"/>
  <c r="C25" i="1" s="1"/>
  <c r="H25" i="1" s="1"/>
  <c r="C26" i="1" s="1"/>
  <c r="E26" i="1" s="1"/>
  <c r="K26" i="1" s="1"/>
  <c r="C33" i="1"/>
  <c r="H33" i="1" s="1"/>
  <c r="C34" i="1" s="1"/>
  <c r="H34" i="1" s="1"/>
  <c r="C35" i="1" s="1"/>
  <c r="E35" i="1" s="1"/>
  <c r="K35" i="1" s="1"/>
  <c r="I18" i="31"/>
  <c r="I20" i="31"/>
  <c r="I20" i="32"/>
  <c r="I22" i="32"/>
  <c r="I22" i="31"/>
  <c r="C16" i="1" l="1"/>
  <c r="H16" i="1" s="1"/>
  <c r="C17" i="1" s="1"/>
  <c r="E17" i="1" s="1"/>
  <c r="K17" i="1" s="1"/>
  <c r="K53" i="1" s="1"/>
  <c r="K61" i="1" s="1"/>
  <c r="N80" i="1" s="1"/>
  <c r="I101" i="31"/>
  <c r="I61" i="31"/>
  <c r="I68" i="31" s="1"/>
  <c r="D21" i="20"/>
  <c r="D18" i="19"/>
  <c r="I98" i="32"/>
  <c r="I58" i="32"/>
  <c r="I65" i="32" s="1"/>
  <c r="K101" i="31" l="1"/>
  <c r="D22" i="19"/>
  <c r="K81" i="1"/>
  <c r="E21" i="13" s="1"/>
  <c r="E24" i="13" s="1"/>
  <c r="E28" i="13" s="1"/>
  <c r="D25" i="20" l="1"/>
  <c r="D22" i="17"/>
  <c r="D16" i="17"/>
  <c r="D19" i="20"/>
  <c r="D16" i="19"/>
  <c r="D19" i="19" l="1"/>
  <c r="D19" i="17"/>
  <c r="D22" i="20"/>
  <c r="D24" i="17" l="1"/>
  <c r="D26" i="20"/>
  <c r="D24" i="19"/>
  <c r="C26" i="20" l="1"/>
  <c r="C24" i="19"/>
  <c r="A2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<sst xmlns="http://schemas.openxmlformats.org/spreadsheetml/2006/main" count="1136" uniqueCount="646">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</sst>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c r="F3" s="810"/>
      <c r="G3" s="331"/>
      <c r="H3" s="331" t="s">
        <v>418</v>
      </c>
      <c r="I3" s="623"/>
      <c r="J3" s="623"/>
      <c r="K3" s="623"/>
      <c r="L3" s="623"/>
      <c r="M3" s="623"/>
      <c r="N3" s="623"/>
    </row>
    <row r="4" spans="1:14" ht="15" x14ac:dyDescent="0.25">
      <c r="A4" s="193"/>
      <c r="B4" s="193" t="s">
        <v>52</v>
      </c>
      <c r="C4" s="193"/>
      <c r="D4" s="193"/>
      <c r="E4" s="815"/>
      <c r="F4" s="816"/>
      <c r="G4" s="331"/>
      <c r="H4" s="331"/>
      <c r="I4" s="331"/>
      <c r="J4" s="331"/>
      <c r="K4" s="331"/>
      <c r="L4" s="331"/>
      <c r="M4" s="331"/>
      <c r="N4" s="331"/>
    </row>
    <row r="5" spans="1:14" ht="15" x14ac:dyDescent="0.25">
      <c r="A5" s="193"/>
      <c r="B5" s="193" t="s">
        <v>516</v>
      </c>
      <c r="C5" s="193"/>
      <c r="D5" s="359"/>
      <c r="E5" s="811"/>
      <c r="F5" s="812"/>
      <c r="G5" s="331"/>
      <c r="H5" s="331" t="s">
        <v>419</v>
      </c>
      <c r="I5" s="623"/>
      <c r="J5" s="623"/>
      <c r="K5" s="623"/>
      <c r="L5" s="623"/>
      <c r="M5" s="623"/>
      <c r="N5" s="623"/>
    </row>
    <row r="6" spans="1:14" ht="15" x14ac:dyDescent="0.25">
      <c r="A6" s="193"/>
      <c r="B6" s="193" t="s">
        <v>53</v>
      </c>
      <c r="C6" s="193"/>
      <c r="D6" s="193"/>
      <c r="E6" s="813"/>
      <c r="F6" s="813"/>
      <c r="G6" s="331"/>
      <c r="H6" s="623" t="s">
        <v>615</v>
      </c>
      <c r="I6" s="331" t="s">
        <v>420</v>
      </c>
      <c r="J6" s="623"/>
      <c r="K6" s="623"/>
      <c r="L6" s="623"/>
      <c r="M6" s="623"/>
      <c r="N6" s="331" t="s">
        <v>621</v>
      </c>
    </row>
    <row r="7" spans="1:14" ht="15" x14ac:dyDescent="0.25">
      <c r="A7" s="193"/>
      <c r="B7" s="362" t="s">
        <v>152</v>
      </c>
      <c r="C7" s="196"/>
      <c r="D7" s="195"/>
      <c r="E7" s="812"/>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c r="F14" s="808"/>
      <c r="G14" s="331"/>
      <c r="H14" s="331" t="s">
        <v>554</v>
      </c>
      <c r="I14" s="623"/>
      <c r="J14" s="623"/>
      <c r="K14" s="623"/>
      <c r="L14" s="623"/>
      <c r="M14" s="623"/>
      <c r="N14" s="623"/>
    </row>
    <row r="15" spans="1:14" ht="15" x14ac:dyDescent="0.25">
      <c r="A15" s="193"/>
      <c r="B15" s="193" t="s">
        <v>549</v>
      </c>
      <c r="C15" s="193"/>
      <c r="D15" s="193"/>
      <c r="E15" s="640"/>
      <c r="F15" s="568"/>
      <c r="G15" s="331"/>
      <c r="H15" s="623" t="s">
        <v>616</v>
      </c>
      <c r="I15" s="331" t="s">
        <v>420</v>
      </c>
      <c r="J15" s="623"/>
      <c r="K15" s="623"/>
      <c r="L15" s="623"/>
      <c r="M15" s="623"/>
      <c r="N15" s="331" t="s">
        <v>621</v>
      </c>
    </row>
    <row r="16" spans="1:14" ht="15" x14ac:dyDescent="0.25">
      <c r="A16" s="193"/>
      <c r="B16" s="193" t="s">
        <v>56</v>
      </c>
      <c r="C16" s="193"/>
      <c r="D16" s="194"/>
      <c r="E16" s="641"/>
      <c r="F16" s="198" t="s">
        <v>61</v>
      </c>
      <c r="G16" s="331"/>
      <c r="H16" s="623" t="s">
        <v>616</v>
      </c>
      <c r="I16" s="331" t="s">
        <v>613</v>
      </c>
      <c r="J16" s="623"/>
      <c r="K16" s="623"/>
      <c r="L16" s="623"/>
      <c r="M16" s="623"/>
      <c r="N16" s="331" t="s">
        <v>625</v>
      </c>
    </row>
    <row r="17" spans="1:14" ht="15" x14ac:dyDescent="0.25">
      <c r="A17" s="358"/>
      <c r="B17" s="567" t="s">
        <v>521</v>
      </c>
      <c r="C17" s="193"/>
      <c r="D17" s="356"/>
      <c r="E17" s="642"/>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v>0</v>
      </c>
      <c r="D7" s="782"/>
      <c r="E7" s="782"/>
      <c r="F7" s="782"/>
      <c r="G7" s="782"/>
    </row>
    <row r="8" spans="1:9" ht="15.75" x14ac:dyDescent="0.2">
      <c r="A8" s="788" t="s">
        <v>1</v>
      </c>
      <c r="B8" s="788"/>
      <c r="C8" s="783">
        <f>Formalien!$E$3</f>
        <v>0</v>
      </c>
      <c r="D8" s="783"/>
      <c r="E8" s="783"/>
      <c r="F8" s="783"/>
      <c r="G8" s="783"/>
    </row>
    <row r="9" spans="1:9" ht="15.75" x14ac:dyDescent="0.2">
      <c r="A9" s="788" t="s">
        <v>523</v>
      </c>
      <c r="B9" s="788"/>
      <c r="C9" s="783">
        <f>IF(Formalien!$E$5="",Formalien!$E$4,Formalien!$E$4&amp;" / "&amp;Formalien!$E$5)</f>
        <v>0</v>
      </c>
      <c r="D9" s="783"/>
      <c r="E9" s="783"/>
      <c r="F9" s="783"/>
      <c r="G9" s="783"/>
      <c r="I9" s="646"/>
    </row>
    <row r="10" spans="1:9" ht="15.75" x14ac:dyDescent="0.2">
      <c r="A10" s="788" t="s">
        <v>521</v>
      </c>
      <c r="B10" s="788"/>
      <c r="C10" s="688">
        <f>Formalien!$E$17</f>
        <v>0</v>
      </c>
      <c r="D10" s="689"/>
      <c r="E10" s="690"/>
      <c r="F10" s="691"/>
      <c r="G10" s="691"/>
    </row>
    <row r="11" spans="1:9" ht="15.75" x14ac:dyDescent="0.2">
      <c r="A11" s="788" t="s">
        <v>145</v>
      </c>
      <c r="B11" s="788"/>
      <c r="C11" s="692">
        <f>Formalien!$E$14</f>
        <v>0</v>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v>0</v>
      </c>
      <c r="F13" s="787"/>
      <c r="G13" s="787"/>
    </row>
    <row r="14" spans="1:9" ht="15" customHeight="1" x14ac:dyDescent="0.2">
      <c r="A14" s="784"/>
      <c r="B14" s="780" t="s">
        <v>520</v>
      </c>
      <c r="C14" s="780"/>
      <c r="D14" s="780"/>
      <c r="E14" s="785">
        <f>Formalien!$E$13</f>
        <v>0</v>
      </c>
      <c r="F14" s="786"/>
      <c r="G14" s="786"/>
    </row>
    <row r="15" spans="1:9" ht="15" customHeight="1" x14ac:dyDescent="0.2">
      <c r="A15" s="784"/>
      <c r="B15" s="780" t="s">
        <v>2</v>
      </c>
      <c r="C15" s="780"/>
      <c r="D15" s="780"/>
      <c r="E15" s="787">
        <f>Formalien!$E$10</f>
        <v>0</v>
      </c>
      <c r="F15" s="787"/>
      <c r="G15" s="787"/>
    </row>
    <row r="16" spans="1:9" ht="15" customHeight="1" x14ac:dyDescent="0.2">
      <c r="A16" s="784"/>
      <c r="B16" s="780" t="s">
        <v>445</v>
      </c>
      <c r="C16" s="780"/>
      <c r="D16" s="780"/>
      <c r="E16" s="787">
        <f>Formalien!$E$11</f>
        <v>0</v>
      </c>
      <c r="F16" s="787"/>
      <c r="G16" s="787"/>
    </row>
    <row r="17" spans="1:13" ht="15" customHeight="1" x14ac:dyDescent="0.2">
      <c r="A17" s="784"/>
      <c r="B17" s="780" t="s">
        <v>444</v>
      </c>
      <c r="C17" s="780"/>
      <c r="D17" s="780"/>
      <c r="E17" s="787">
        <f>Formalien!$E$9</f>
        <v>0</v>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v>0</v>
      </c>
      <c r="F21" s="794" t="s">
        <v>119</v>
      </c>
      <c r="G21" s="795"/>
      <c r="H21" s="477"/>
      <c r="K21" s="792"/>
      <c r="L21" s="792"/>
      <c r="M21" s="792"/>
    </row>
    <row r="22" spans="1:13" ht="19.899999999999999" customHeight="1" x14ac:dyDescent="0.2">
      <c r="A22" s="330"/>
      <c r="B22" s="775" t="s">
        <v>522</v>
      </c>
      <c r="C22" s="776"/>
      <c r="D22" s="776"/>
      <c r="E22" s="685">
        <f>Außenanlagen!$L$46</f>
        <v>0</v>
      </c>
      <c r="F22" s="342"/>
      <c r="G22" s="476"/>
      <c r="K22" s="792"/>
      <c r="L22" s="792"/>
      <c r="M22" s="792"/>
    </row>
    <row r="23" spans="1:13" ht="19.899999999999999" customHeight="1" x14ac:dyDescent="0.2">
      <c r="B23" s="775" t="s">
        <v>451</v>
      </c>
      <c r="C23" s="776"/>
      <c r="D23" s="776"/>
      <c r="E23" s="685">
        <f>MAX('Aufwuchs I'!L46,'Aufwuchs II'!L46)</f>
        <v>0</v>
      </c>
      <c r="F23" s="342"/>
      <c r="G23" s="476"/>
      <c r="L23" s="344"/>
      <c r="M23" s="344"/>
    </row>
    <row r="24" spans="1:13" ht="19.899999999999999" customHeight="1" x14ac:dyDescent="0.25">
      <c r="B24" s="793" t="s">
        <v>296</v>
      </c>
      <c r="C24" s="776"/>
      <c r="D24" s="776"/>
      <c r="E24" s="686">
        <f>SUM(E21:E23)</f>
        <v>0</v>
      </c>
      <c r="F24" s="342"/>
      <c r="G24" s="476"/>
      <c r="J24" s="330"/>
      <c r="K24" s="789"/>
      <c r="L24" s="790"/>
      <c r="M24" s="342"/>
    </row>
    <row r="25" spans="1:13" ht="19.899999999999999" customHeight="1" x14ac:dyDescent="0.25">
      <c r="B25" s="775" t="s">
        <v>577</v>
      </c>
      <c r="C25" s="776"/>
      <c r="D25" s="776"/>
      <c r="E25" s="687">
        <f>Baulichkeiten!$H$104</f>
        <v>250</v>
      </c>
      <c r="F25" s="342"/>
      <c r="G25" s="476"/>
      <c r="J25" s="330"/>
      <c r="K25" s="590"/>
      <c r="L25" s="591"/>
      <c r="M25" s="342"/>
    </row>
    <row r="26" spans="1:13" ht="19.899999999999999" customHeight="1" x14ac:dyDescent="0.2">
      <c r="B26" s="775" t="s">
        <v>572</v>
      </c>
      <c r="C26" s="776"/>
      <c r="D26" s="776"/>
      <c r="E26" s="687">
        <f>Beseitigungskosten!$K$24</f>
        <v>150</v>
      </c>
      <c r="F26" s="342"/>
      <c r="G26" s="476"/>
      <c r="K26" s="495"/>
      <c r="L26" s="492"/>
      <c r="M26" s="342"/>
    </row>
    <row r="27" spans="1:13" ht="19.899999999999999" customHeight="1" thickBot="1" x14ac:dyDescent="0.25">
      <c r="B27" s="775" t="s">
        <v>630</v>
      </c>
      <c r="C27" s="803"/>
      <c r="D27" s="803"/>
      <c r="E27" s="687">
        <f>Beseitigungskosten!$K$45</f>
        <v>0</v>
      </c>
      <c r="F27" s="342"/>
      <c r="G27" s="476"/>
      <c r="J27" s="330"/>
      <c r="K27" s="330"/>
    </row>
    <row r="28" spans="1:13" ht="19.899999999999999" customHeight="1" thickBot="1" x14ac:dyDescent="0.25">
      <c r="B28" s="777" t="s">
        <v>452</v>
      </c>
      <c r="C28" s="778"/>
      <c r="D28" s="778"/>
      <c r="E28" s="653">
        <f>SUM(E24-E25-E26-E27)</f>
        <v>-400</v>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v>0</v>
      </c>
      <c r="E2" s="859"/>
      <c r="F2" s="872"/>
      <c r="G2" s="872"/>
      <c r="H2" s="363" t="s">
        <v>519</v>
      </c>
      <c r="I2" s="868">
        <f>Formalien!$E$4</f>
        <v>0</v>
      </c>
      <c r="J2" s="868"/>
      <c r="K2" s="868"/>
    </row>
    <row r="3" spans="1:20" s="1" customFormat="1" x14ac:dyDescent="0.25">
      <c r="A3" s="849" t="s">
        <v>65</v>
      </c>
      <c r="B3" s="849"/>
      <c r="C3" s="849"/>
      <c r="D3" s="849"/>
      <c r="E3" s="366">
        <f>Formalien!$E$16</f>
        <v>0</v>
      </c>
      <c r="F3" s="364" t="s">
        <v>61</v>
      </c>
      <c r="G3" s="508"/>
      <c r="H3" s="508"/>
      <c r="I3" s="870">
        <f>Formalien!$E$5</f>
        <v>0</v>
      </c>
      <c r="J3" s="871"/>
      <c r="K3" s="871"/>
    </row>
    <row r="4" spans="1:20" s="1" customFormat="1" x14ac:dyDescent="0.25">
      <c r="A4" s="849" t="s">
        <v>0</v>
      </c>
      <c r="B4" s="849"/>
      <c r="C4" s="849"/>
      <c r="D4" s="849"/>
      <c r="E4" s="869">
        <f>Formalien!$E$6</f>
        <v>0</v>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v>0</v>
      </c>
      <c r="G12" s="848" t="s">
        <v>294</v>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v>0</v>
      </c>
      <c r="D14" s="374" t="s">
        <v>16</v>
      </c>
      <c r="E14" s="387"/>
      <c r="F14" s="844" t="s">
        <v>299</v>
      </c>
      <c r="G14" s="844"/>
      <c r="H14" s="388">
        <f>ROUND(C14-C14*E14/100,2)</f>
        <v>0</v>
      </c>
      <c r="I14" s="388"/>
      <c r="J14" s="384"/>
      <c r="M14" s="365"/>
      <c r="N14" s="342"/>
      <c r="O14" s="342"/>
      <c r="P14" s="834"/>
      <c r="Q14" s="834"/>
      <c r="R14" s="834"/>
      <c r="S14" s="373"/>
      <c r="T14" s="373"/>
    </row>
    <row r="15" spans="1:20" ht="16.5" customHeight="1" thickBot="1" x14ac:dyDescent="0.3">
      <c r="B15" s="388"/>
      <c r="C15" s="389">
        <f>$H$14</f>
        <v>0</v>
      </c>
      <c r="D15" s="374" t="s">
        <v>16</v>
      </c>
      <c r="E15" s="390">
        <f>Tabelle1!$I$90</f>
        <v>0</v>
      </c>
      <c r="F15" s="834" t="s">
        <v>300</v>
      </c>
      <c r="G15" s="834"/>
      <c r="H15" s="388">
        <f>ROUND(C15-C15*E15%,2)</f>
        <v>0</v>
      </c>
      <c r="J15" s="384"/>
      <c r="M15" s="391" t="s">
        <v>44</v>
      </c>
      <c r="N15" s="392" t="s">
        <v>154</v>
      </c>
      <c r="O15" s="393"/>
      <c r="P15" s="394" t="s">
        <v>14</v>
      </c>
      <c r="S15" s="372"/>
      <c r="T15" s="373"/>
    </row>
    <row r="16" spans="1:20" ht="16.5" customHeight="1" thickBot="1" x14ac:dyDescent="0.3">
      <c r="C16" s="395">
        <f>$H$15</f>
        <v>0</v>
      </c>
      <c r="D16" s="379" t="s">
        <v>18</v>
      </c>
      <c r="E16" s="372">
        <f>H7/100</f>
        <v>1.7919999999999998</v>
      </c>
      <c r="F16" s="836" t="s">
        <v>436</v>
      </c>
      <c r="G16" s="836"/>
      <c r="H16" s="388">
        <f>ROUND(C16*E16,2)</f>
        <v>0</v>
      </c>
      <c r="J16" s="384"/>
      <c r="M16" s="396" t="s">
        <v>40</v>
      </c>
      <c r="N16" s="863" t="s">
        <v>40</v>
      </c>
      <c r="O16" s="864"/>
      <c r="P16" s="397"/>
    </row>
    <row r="17" spans="1:18" ht="16.5" customHeight="1" thickBot="1" x14ac:dyDescent="0.3">
      <c r="A17" s="398"/>
      <c r="B17" s="372" t="s">
        <v>185</v>
      </c>
      <c r="C17" s="384">
        <f>$H$16</f>
        <v>0</v>
      </c>
      <c r="D17" s="399" t="s">
        <v>9</v>
      </c>
      <c r="E17" s="384">
        <f>ROUND(A17*C17,2)</f>
        <v>0</v>
      </c>
      <c r="F17" s="835"/>
      <c r="G17" s="835"/>
      <c r="H17" s="835"/>
      <c r="I17" s="378" t="s">
        <v>158</v>
      </c>
      <c r="J17" s="400" t="str">
        <f>$B$12</f>
        <v>L</v>
      </c>
      <c r="K17" s="645">
        <f>E17</f>
        <v>0</v>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v>Stein 24,00 - 35,99 cm</v>
      </c>
      <c r="O18" s="404"/>
      <c r="P18" s="405">
        <v>595</v>
      </c>
    </row>
    <row r="19" spans="1:18" ht="16.5" customHeight="1" thickBot="1" x14ac:dyDescent="0.3">
      <c r="A19" s="378" t="s">
        <v>5</v>
      </c>
      <c r="B19" s="694" t="s">
        <v>536</v>
      </c>
      <c r="C19" s="806" t="s">
        <v>631</v>
      </c>
      <c r="D19" s="806"/>
      <c r="E19" s="806"/>
      <c r="F19" s="806"/>
      <c r="G19" s="806"/>
      <c r="H19" s="806"/>
      <c r="I19" s="695">
        <v>1</v>
      </c>
      <c r="J19" t="s">
        <v>79</v>
      </c>
      <c r="M19" s="402" t="s">
        <v>161</v>
      </c>
      <c r="N19" s="403" t="str">
        <f>N47</f>
        <v>Stein ab 36,00 cm</v>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v>0</v>
      </c>
      <c r="G21" s="848" t="s">
        <v>294</v>
      </c>
      <c r="H21" s="848"/>
      <c r="I21" s="848"/>
      <c r="J21" s="848"/>
      <c r="M21" s="402" t="s">
        <v>162</v>
      </c>
      <c r="N21" s="410" t="str">
        <f>N48</f>
        <v>Stein 10,00 - 12,00 cm</v>
      </c>
      <c r="O21" s="411"/>
      <c r="P21" s="405">
        <v>350</v>
      </c>
    </row>
    <row r="22" spans="1:18" ht="16.5" customHeight="1" x14ac:dyDescent="0.25">
      <c r="B22" s="372" t="s">
        <v>122</v>
      </c>
      <c r="C22" s="382"/>
      <c r="D22" s="843"/>
      <c r="E22" s="843"/>
      <c r="F22" s="843"/>
      <c r="H22" s="374" t="s">
        <v>298</v>
      </c>
      <c r="I22" s="383"/>
      <c r="J22" s="384"/>
      <c r="K22" s="315"/>
      <c r="M22" s="412" t="s">
        <v>163</v>
      </c>
      <c r="N22" s="403" t="str">
        <f>N49</f>
        <v>Stein 12,01 - 17,49 cm</v>
      </c>
      <c r="O22" s="404"/>
      <c r="P22" s="405">
        <v>490</v>
      </c>
    </row>
    <row r="23" spans="1:18" ht="16.5" customHeight="1" x14ac:dyDescent="0.25">
      <c r="B23" s="374" t="s">
        <v>6</v>
      </c>
      <c r="C23" s="386">
        <f>Tabelle1!$B$95</f>
        <v>0</v>
      </c>
      <c r="D23" s="374" t="s">
        <v>16</v>
      </c>
      <c r="E23" s="387"/>
      <c r="F23" s="844" t="s">
        <v>299</v>
      </c>
      <c r="G23" s="844"/>
      <c r="H23" s="388">
        <f>ROUND(C23-C23*E23/100,2)</f>
        <v>0</v>
      </c>
      <c r="I23" s="388"/>
      <c r="J23" s="384"/>
      <c r="M23" s="402" t="s">
        <v>42</v>
      </c>
      <c r="N23" s="817" t="s">
        <v>42</v>
      </c>
      <c r="O23" s="818"/>
      <c r="P23" s="405"/>
    </row>
    <row r="24" spans="1:18" ht="16.5" customHeight="1" x14ac:dyDescent="0.25">
      <c r="B24" s="388"/>
      <c r="C24" s="395">
        <f>$H$23</f>
        <v>0</v>
      </c>
      <c r="D24" s="374" t="s">
        <v>16</v>
      </c>
      <c r="E24" s="390">
        <f>Tabelle1!$I$95</f>
        <v>0</v>
      </c>
      <c r="F24" s="834" t="s">
        <v>300</v>
      </c>
      <c r="G24" s="834"/>
      <c r="H24" s="388">
        <f>ROUND(C24-C24*E24%,2)</f>
        <v>0</v>
      </c>
      <c r="J24" s="384"/>
      <c r="M24" s="402" t="s">
        <v>164</v>
      </c>
      <c r="N24" s="403" t="str">
        <f t="shared" ref="N24:N29" si="0">N50</f>
        <v>Blockhaus 6,00 - 7,49 cm</v>
      </c>
      <c r="O24" s="404"/>
      <c r="P24" s="405">
        <v>420</v>
      </c>
    </row>
    <row r="25" spans="1:18" ht="16.5" customHeight="1" thickBot="1" x14ac:dyDescent="0.3">
      <c r="C25" s="388">
        <f>$H$24</f>
        <v>0</v>
      </c>
      <c r="D25" s="379" t="s">
        <v>18</v>
      </c>
      <c r="E25" s="372">
        <f>H7/100</f>
        <v>1.7919999999999998</v>
      </c>
      <c r="F25" s="836" t="s">
        <v>436</v>
      </c>
      <c r="G25" s="836"/>
      <c r="H25" s="388">
        <f>ROUND(C25*E25,2)</f>
        <v>0</v>
      </c>
      <c r="J25" s="384"/>
      <c r="M25" s="402" t="s">
        <v>165</v>
      </c>
      <c r="N25" s="403" t="str">
        <f t="shared" si="0"/>
        <v>Blockhaus 7,50 - 8,99 cm</v>
      </c>
      <c r="O25" s="404"/>
      <c r="P25" s="405">
        <v>555</v>
      </c>
    </row>
    <row r="26" spans="1:18" ht="16.5" customHeight="1" thickBot="1" x14ac:dyDescent="0.3">
      <c r="A26" s="398"/>
      <c r="B26" s="372" t="s">
        <v>185</v>
      </c>
      <c r="C26" s="384">
        <f>$H$25</f>
        <v>0</v>
      </c>
      <c r="D26" s="399" t="s">
        <v>9</v>
      </c>
      <c r="E26" s="384">
        <f>ROUND(A26*C26,2)</f>
        <v>0</v>
      </c>
      <c r="F26" s="835"/>
      <c r="G26" s="835"/>
      <c r="H26" s="835"/>
      <c r="I26" s="378" t="s">
        <v>158</v>
      </c>
      <c r="J26" s="414" t="str">
        <f>$B$21</f>
        <v>A1</v>
      </c>
      <c r="K26" s="401">
        <f>E26</f>
        <v>0</v>
      </c>
      <c r="M26" s="402" t="s">
        <v>166</v>
      </c>
      <c r="N26" s="403" t="str">
        <f t="shared" si="0"/>
        <v xml:space="preserve">Blockhaus ab 9,0 cm </v>
      </c>
      <c r="O26" s="404"/>
      <c r="P26" s="405">
        <v>672</v>
      </c>
    </row>
    <row r="27" spans="1:18" ht="15.75" thickBot="1" x14ac:dyDescent="0.3">
      <c r="A27" s="406" t="s">
        <v>186</v>
      </c>
      <c r="M27" s="402" t="s">
        <v>164</v>
      </c>
      <c r="N27" s="415" t="str">
        <f t="shared" si="0"/>
        <v>Doppelt Holz 10,01 - 14,99 cm</v>
      </c>
      <c r="O27" s="416"/>
      <c r="P27" s="405">
        <v>420</v>
      </c>
    </row>
    <row r="28" spans="1:18" ht="15.75" thickBot="1" x14ac:dyDescent="0.3">
      <c r="A28" s="378" t="s">
        <v>5</v>
      </c>
      <c r="B28" s="694" t="s">
        <v>360</v>
      </c>
      <c r="C28" s="806" t="s">
        <v>632</v>
      </c>
      <c r="D28" s="806"/>
      <c r="E28" s="806"/>
      <c r="F28" s="806"/>
      <c r="G28" s="806"/>
      <c r="H28" s="806"/>
      <c r="I28" s="695">
        <v>2</v>
      </c>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v>Doppelt Holz ab 20,00 cm</v>
      </c>
      <c r="O29" s="416"/>
      <c r="P29" s="405">
        <v>672</v>
      </c>
    </row>
    <row r="30" spans="1:18" ht="16.5" customHeight="1" x14ac:dyDescent="0.25">
      <c r="A30" s="380" t="s">
        <v>5</v>
      </c>
      <c r="B30" s="381" t="s">
        <v>361</v>
      </c>
      <c r="E30" s="374" t="s">
        <v>4</v>
      </c>
      <c r="F30" s="372">
        <f>Tabelle1!$D$98</f>
        <v>0</v>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v>0</v>
      </c>
      <c r="D32" s="374" t="s">
        <v>16</v>
      </c>
      <c r="E32" s="387"/>
      <c r="F32" s="844" t="s">
        <v>299</v>
      </c>
      <c r="G32" s="844"/>
      <c r="H32" s="388">
        <f>ROUND(C32-C32*E32/100,2)</f>
        <v>0</v>
      </c>
      <c r="I32" s="388"/>
      <c r="J32" s="384"/>
      <c r="M32" s="402" t="s">
        <v>168</v>
      </c>
      <c r="N32" s="423" t="str">
        <f>N61</f>
        <v>Blockhaus 3,01 - 4,99 cm</v>
      </c>
      <c r="O32" s="424"/>
      <c r="P32" s="405">
        <v>325</v>
      </c>
      <c r="Q32" s="372"/>
      <c r="R32" s="372"/>
    </row>
    <row r="33" spans="1:18" ht="16.5" customHeight="1" x14ac:dyDescent="0.25">
      <c r="B33" s="388"/>
      <c r="C33" s="395">
        <f>$H$23</f>
        <v>0</v>
      </c>
      <c r="D33" s="374" t="s">
        <v>16</v>
      </c>
      <c r="E33" s="418">
        <f>Tabelle1!$I$100</f>
        <v>0</v>
      </c>
      <c r="F33" s="834" t="s">
        <v>300</v>
      </c>
      <c r="G33" s="834"/>
      <c r="H33" s="388">
        <f>ROUND(C33-C33*E33%,2)</f>
        <v>0</v>
      </c>
      <c r="J33" s="384"/>
      <c r="M33" s="402" t="s">
        <v>169</v>
      </c>
      <c r="N33" s="423" t="str">
        <f>N62</f>
        <v>Blockhaus ab 5,00 cm</v>
      </c>
      <c r="O33" s="424"/>
      <c r="P33" s="405">
        <v>420</v>
      </c>
      <c r="Q33" s="372"/>
      <c r="R33" s="372"/>
    </row>
    <row r="34" spans="1:18" ht="16.5" customHeight="1" thickBot="1" x14ac:dyDescent="0.3">
      <c r="C34" s="388">
        <f>$H$33</f>
        <v>0</v>
      </c>
      <c r="D34" s="379" t="s">
        <v>18</v>
      </c>
      <c r="E34" s="372">
        <f>$E$16</f>
        <v>1.7919999999999998</v>
      </c>
      <c r="F34" s="836" t="s">
        <v>436</v>
      </c>
      <c r="G34" s="836"/>
      <c r="H34" s="388">
        <f>ROUND(C34*E34,2)</f>
        <v>0</v>
      </c>
      <c r="J34" s="384"/>
      <c r="M34" s="402" t="s">
        <v>167</v>
      </c>
      <c r="N34" s="423" t="str">
        <f>N63</f>
        <v>Doppelwand bis 4,00 cm</v>
      </c>
      <c r="O34" s="424"/>
      <c r="P34" s="405">
        <v>265</v>
      </c>
      <c r="Q34" s="372"/>
      <c r="R34" s="372"/>
    </row>
    <row r="35" spans="1:18" ht="16.5" customHeight="1" thickBot="1" x14ac:dyDescent="0.3">
      <c r="A35" s="398"/>
      <c r="B35" s="372" t="s">
        <v>185</v>
      </c>
      <c r="C35" s="384">
        <f>$H$34</f>
        <v>0</v>
      </c>
      <c r="D35" s="399" t="s">
        <v>9</v>
      </c>
      <c r="E35" s="384">
        <f>ROUND(A35*C35,2)</f>
        <v>0</v>
      </c>
      <c r="F35" s="835"/>
      <c r="G35" s="835"/>
      <c r="H35" s="835"/>
      <c r="I35" s="378" t="s">
        <v>158</v>
      </c>
      <c r="J35" s="422" t="str">
        <f>$B$30</f>
        <v>A2</v>
      </c>
      <c r="K35" s="401">
        <f>E35</f>
        <v>0</v>
      </c>
      <c r="M35" s="419" t="s">
        <v>169</v>
      </c>
      <c r="N35" s="425" t="str">
        <f>N65</f>
        <v>Doppelwand 8,01 - 10,00 cm</v>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v>3</v>
      </c>
      <c r="J37" t="s">
        <v>79</v>
      </c>
    </row>
    <row r="38" spans="1:18" ht="16.149999999999999" customHeight="1" thickBot="1" x14ac:dyDescent="0.3">
      <c r="A38" s="378"/>
      <c r="B38" s="854" t="s">
        <v>633</v>
      </c>
      <c r="C38" s="806"/>
      <c r="D38" s="806"/>
      <c r="E38" s="806"/>
      <c r="F38" s="855"/>
      <c r="G38" s="855"/>
      <c r="H38"/>
      <c r="I38" s="695">
        <f>I19+I28+I37</f>
        <v>6</v>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v>0</v>
      </c>
      <c r="M41" s="331"/>
      <c r="N41" s="365"/>
      <c r="O41" s="331"/>
      <c r="P41" s="342"/>
    </row>
    <row r="42" spans="1:18" ht="16.5" customHeight="1" x14ac:dyDescent="0.25">
      <c r="C42" s="373">
        <f>I41</f>
        <v>0</v>
      </c>
      <c r="D42" s="372" t="s">
        <v>16</v>
      </c>
      <c r="E42" s="372">
        <f>I40*G40</f>
        <v>0</v>
      </c>
      <c r="F42" s="379" t="s">
        <v>188</v>
      </c>
      <c r="G42" s="379"/>
      <c r="H42" s="399">
        <v>5</v>
      </c>
      <c r="I42" s="373">
        <f>IF(E42&gt;99,"abgeschrieben",ROUND(C42-C42*E42%,2))</f>
        <v>0</v>
      </c>
    </row>
    <row r="43" spans="1:18" ht="16.5" customHeight="1" thickBot="1" x14ac:dyDescent="0.3">
      <c r="C43" s="373">
        <f>IF(I42="abgeschrieben",0,I42)</f>
        <v>0</v>
      </c>
      <c r="D43" s="372" t="s">
        <v>18</v>
      </c>
      <c r="E43" s="372">
        <f>H7/100</f>
        <v>1.7919999999999998</v>
      </c>
      <c r="F43" s="860" t="s">
        <v>13</v>
      </c>
      <c r="G43" s="860"/>
      <c r="H43" s="399" t="s">
        <v>9</v>
      </c>
      <c r="I43" s="373">
        <f>ROUND(C43*E43,2)</f>
        <v>0</v>
      </c>
    </row>
    <row r="44" spans="1:18" ht="15.75" thickBot="1" x14ac:dyDescent="0.3">
      <c r="A44" s="372" t="s">
        <v>439</v>
      </c>
      <c r="F44" s="398"/>
      <c r="G44" s="372" t="s">
        <v>17</v>
      </c>
      <c r="H44" s="373">
        <f>I43</f>
        <v>0</v>
      </c>
      <c r="I44" s="399" t="s">
        <v>440</v>
      </c>
      <c r="J44" s="427" t="str">
        <f>$D$40</f>
        <v>GWH</v>
      </c>
      <c r="K44" s="401">
        <f>ROUND(F44*H44,2)</f>
        <v>0</v>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v>Stein 24,00 - 35,99 cm</v>
      </c>
      <c r="P46" s="76" t="s">
        <v>328</v>
      </c>
      <c r="Q46" s="76"/>
      <c r="R46" s="76">
        <v>3</v>
      </c>
    </row>
    <row r="47" spans="1:18" x14ac:dyDescent="0.25">
      <c r="A47" s="380" t="s">
        <v>5</v>
      </c>
      <c r="B47" s="381" t="s">
        <v>365</v>
      </c>
      <c r="E47" s="374" t="s">
        <v>4</v>
      </c>
      <c r="F47" s="372">
        <f>Tabelle1!$D$103</f>
        <v>0</v>
      </c>
      <c r="G47" s="848" t="s">
        <v>294</v>
      </c>
      <c r="H47" s="848"/>
      <c r="I47" s="848"/>
      <c r="J47" s="434"/>
      <c r="N47" s="433" t="str">
        <f>Tabelle1!J89</f>
        <v>Stein ab 36,00 cm</v>
      </c>
      <c r="P47" s="76" t="s">
        <v>329</v>
      </c>
      <c r="Q47" s="76"/>
      <c r="R47" s="76">
        <v>4</v>
      </c>
    </row>
    <row r="48" spans="1:18" x14ac:dyDescent="0.25">
      <c r="B48" s="372" t="s">
        <v>122</v>
      </c>
      <c r="C48" s="382"/>
      <c r="D48" s="842"/>
      <c r="E48" s="843"/>
      <c r="F48" s="843"/>
      <c r="H48" s="374" t="s">
        <v>298</v>
      </c>
      <c r="I48" s="383"/>
      <c r="J48" s="384"/>
      <c r="K48" s="315"/>
      <c r="N48" s="433" t="str">
        <f>Tabelle1!J90</f>
        <v>Stein 10,00 - 12,00 cm</v>
      </c>
      <c r="P48" s="76" t="s">
        <v>330</v>
      </c>
      <c r="Q48" s="76"/>
      <c r="R48" s="76">
        <v>5</v>
      </c>
    </row>
    <row r="49" spans="1:18" x14ac:dyDescent="0.25">
      <c r="B49" s="374" t="s">
        <v>6</v>
      </c>
      <c r="C49" s="386">
        <f>Tabelle1!$B$105</f>
        <v>0</v>
      </c>
      <c r="D49" s="374" t="s">
        <v>16</v>
      </c>
      <c r="E49" s="435"/>
      <c r="F49" s="844" t="s">
        <v>299</v>
      </c>
      <c r="G49" s="844"/>
      <c r="H49" s="388">
        <f>ROUND(C49-C49*E49/100,2)</f>
        <v>0</v>
      </c>
      <c r="I49" s="388"/>
      <c r="J49" s="384"/>
      <c r="N49" s="433" t="str">
        <f>Tabelle1!J91</f>
        <v>Stein 12,01 - 17,49 cm</v>
      </c>
      <c r="P49" s="76" t="s">
        <v>331</v>
      </c>
      <c r="Q49" s="76"/>
      <c r="R49" s="76">
        <v>7</v>
      </c>
    </row>
    <row r="50" spans="1:18" x14ac:dyDescent="0.25">
      <c r="B50" s="388"/>
      <c r="C50" s="388">
        <f>H49</f>
        <v>0</v>
      </c>
      <c r="D50" s="374" t="s">
        <v>16</v>
      </c>
      <c r="E50" s="418">
        <f>Tabelle1!$I$105</f>
        <v>0</v>
      </c>
      <c r="F50" s="844" t="s">
        <v>300</v>
      </c>
      <c r="G50" s="844"/>
      <c r="H50" s="388">
        <f>ROUND(C50-C50*E50%,2)</f>
        <v>0</v>
      </c>
      <c r="J50" s="384"/>
      <c r="N50" s="433" t="str">
        <f>Tabelle1!J92</f>
        <v>Blockhaus 6,00 - 7,49 cm</v>
      </c>
      <c r="P50" s="76" t="s">
        <v>332</v>
      </c>
      <c r="Q50" s="76"/>
      <c r="R50" s="76">
        <v>10</v>
      </c>
    </row>
    <row r="51" spans="1:18" x14ac:dyDescent="0.25">
      <c r="C51" s="388">
        <f>H50</f>
        <v>0</v>
      </c>
      <c r="D51" s="379" t="s">
        <v>18</v>
      </c>
      <c r="E51" s="372">
        <f>H7/100</f>
        <v>1.7919999999999998</v>
      </c>
      <c r="F51" s="379" t="s">
        <v>436</v>
      </c>
      <c r="G51" s="379"/>
      <c r="H51" s="388">
        <f>ROUND(C51*E51,2)</f>
        <v>0</v>
      </c>
      <c r="J51" s="384"/>
      <c r="N51" s="433" t="str">
        <f>Tabelle1!J93</f>
        <v>Blockhaus 7,50 - 8,99 cm</v>
      </c>
    </row>
    <row r="52" spans="1:18" ht="15.75" thickBot="1" x14ac:dyDescent="0.3">
      <c r="A52" s="398"/>
      <c r="B52" s="372" t="s">
        <v>185</v>
      </c>
      <c r="C52" s="388">
        <f>$H$51</f>
        <v>0</v>
      </c>
      <c r="D52" s="399" t="s">
        <v>9</v>
      </c>
      <c r="E52" s="384">
        <f>ROUND(A52*C52,2)</f>
        <v>0</v>
      </c>
      <c r="F52" s="287"/>
      <c r="G52" s="287"/>
      <c r="H52" s="287"/>
      <c r="I52" s="378" t="s">
        <v>158</v>
      </c>
      <c r="J52" s="414" t="str">
        <f>$B$21</f>
        <v>A1</v>
      </c>
      <c r="K52" s="384">
        <f>E52</f>
        <v>0</v>
      </c>
      <c r="N52" s="433" t="str">
        <f>Tabelle1!J94</f>
        <v xml:space="preserve">Blockhaus ab 9,0 cm </v>
      </c>
    </row>
    <row r="53" spans="1:18" ht="14.45" customHeight="1" thickBot="1" x14ac:dyDescent="0.3">
      <c r="A53" s="406" t="s">
        <v>186</v>
      </c>
      <c r="I53" s="372" t="s">
        <v>296</v>
      </c>
      <c r="J53" s="436"/>
      <c r="K53" s="437">
        <f>SUM(K14:K52)</f>
        <v>0</v>
      </c>
      <c r="N53" s="438" t="str">
        <f>Tabelle1!J95</f>
        <v>Doppelt Holz 10,01 - 14,99 cm</v>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v>Doppelt Holz ab 20,00 cm</v>
      </c>
    </row>
    <row r="56" spans="1:18" x14ac:dyDescent="0.25">
      <c r="A56" s="849" t="s">
        <v>1</v>
      </c>
      <c r="B56" s="850"/>
      <c r="C56" s="850"/>
      <c r="D56" s="858">
        <f>Formalien!$E$3</f>
        <v>0</v>
      </c>
      <c r="E56" s="859"/>
      <c r="F56" s="806"/>
      <c r="G56" s="806"/>
      <c r="H56" s="363" t="s">
        <v>3</v>
      </c>
      <c r="I56" s="369">
        <f>Formalien!$E$4</f>
        <v>0</v>
      </c>
      <c r="J56" s="1"/>
      <c r="K56" s="1"/>
      <c r="N56" s="438"/>
    </row>
    <row r="57" spans="1:18" x14ac:dyDescent="0.25">
      <c r="A57" s="849" t="s">
        <v>65</v>
      </c>
      <c r="B57" s="795"/>
      <c r="C57" s="795"/>
      <c r="D57" s="366">
        <f>Formalien!$E$16</f>
        <v>0</v>
      </c>
      <c r="E57" s="364" t="s">
        <v>61</v>
      </c>
      <c r="F57" s="365"/>
      <c r="G57" s="341"/>
      <c r="H57" s="341"/>
      <c r="I57" s="856"/>
      <c r="J57" s="806"/>
      <c r="K57" s="806"/>
      <c r="N57" s="438"/>
    </row>
    <row r="58" spans="1:18" x14ac:dyDescent="0.25">
      <c r="A58" s="849" t="s">
        <v>0</v>
      </c>
      <c r="B58" s="795"/>
      <c r="C58" s="795"/>
      <c r="D58" s="861">
        <f>Formalien!$E$6</f>
        <v>0</v>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v>0</v>
      </c>
      <c r="N61" s="433" t="str">
        <f>Tabelle1!J99</f>
        <v>Blockhaus 3,01 - 4,99 cm</v>
      </c>
    </row>
    <row r="62" spans="1:18" x14ac:dyDescent="0.25">
      <c r="A62" s="830" t="s">
        <v>15</v>
      </c>
      <c r="B62" s="830"/>
      <c r="C62" s="830"/>
      <c r="D62" s="830"/>
      <c r="E62" s="378" t="s">
        <v>5</v>
      </c>
      <c r="F62" s="440" t="s">
        <v>363</v>
      </c>
      <c r="H62" s="374"/>
      <c r="J62"/>
      <c r="L62" s="829" t="s">
        <v>441</v>
      </c>
      <c r="M62" s="829"/>
      <c r="N62" s="433" t="str">
        <f>Tabelle1!J100</f>
        <v>Blockhaus ab 5,00 cm</v>
      </c>
    </row>
    <row r="63" spans="1:18" x14ac:dyDescent="0.25">
      <c r="A63" s="375" t="s">
        <v>142</v>
      </c>
      <c r="D63" s="372" t="s">
        <v>14</v>
      </c>
      <c r="E63" s="441">
        <v>0</v>
      </c>
      <c r="F63" s="372" t="s">
        <v>16</v>
      </c>
      <c r="G63" s="442">
        <f>IF(E63&gt;0,E14,0)</f>
        <v>0</v>
      </c>
      <c r="H63" s="374" t="s">
        <v>301</v>
      </c>
      <c r="I63" s="436">
        <f>ROUND(E63-E63*G63%,2)</f>
        <v>0</v>
      </c>
      <c r="L63" s="829"/>
      <c r="M63" s="829"/>
      <c r="N63" s="433" t="str">
        <f>Tabelle1!J101</f>
        <v>Doppelwand bis 4,00 cm</v>
      </c>
    </row>
    <row r="64" spans="1:18" x14ac:dyDescent="0.25">
      <c r="C64" s="443"/>
      <c r="D64" s="372" t="s">
        <v>16</v>
      </c>
      <c r="E64" s="372">
        <f>IF(C64&gt;0,E15,0)</f>
        <v>0</v>
      </c>
      <c r="F64" s="844" t="s">
        <v>297</v>
      </c>
      <c r="G64" s="844"/>
      <c r="H64" s="844"/>
      <c r="I64" s="373">
        <f>ROUND(C64-C64*E64%,2)</f>
        <v>0</v>
      </c>
      <c r="L64" s="829"/>
      <c r="M64" s="829"/>
      <c r="N64" s="433" t="str">
        <f>Tabelle1!J102</f>
        <v xml:space="preserve">Doppelwand 4,01 - 8,00 cm </v>
      </c>
    </row>
    <row r="65" spans="1:15" ht="15" customHeight="1" x14ac:dyDescent="0.25">
      <c r="C65" s="443"/>
      <c r="F65" s="376"/>
      <c r="G65" s="376"/>
      <c r="H65" s="376"/>
      <c r="I65" s="373"/>
      <c r="L65" s="829"/>
      <c r="M65" s="829"/>
      <c r="N65" s="433" t="str">
        <f>Tabelle1!J103</f>
        <v>Doppelwand 8,01 - 10,00 cm</v>
      </c>
    </row>
    <row r="66" spans="1:15" ht="15.75" thickBot="1" x14ac:dyDescent="0.3">
      <c r="A66" s="444" t="s">
        <v>143</v>
      </c>
      <c r="B66" s="287"/>
      <c r="C66" s="288" t="s">
        <v>140</v>
      </c>
      <c r="D66" s="288"/>
      <c r="E66" s="445"/>
      <c r="F66" s="835" t="s">
        <v>184</v>
      </c>
      <c r="G66" s="835"/>
      <c r="H66" s="445">
        <v>0</v>
      </c>
      <c r="I66" s="288" t="s">
        <v>211</v>
      </c>
      <c r="L66" s="829"/>
      <c r="M66" s="829"/>
      <c r="N66" s="446" t="str">
        <f>Tabelle1!J104</f>
        <v>fehlt</v>
      </c>
    </row>
    <row r="67" spans="1:15" x14ac:dyDescent="0.25">
      <c r="A67" s="444" t="s">
        <v>292</v>
      </c>
      <c r="B67" s="831" t="s">
        <v>302</v>
      </c>
      <c r="C67" s="831"/>
      <c r="D67" s="288" t="s">
        <v>14</v>
      </c>
      <c r="E67" s="447">
        <f>IF(B67=N67,O67,IF(B67=N68,O68,IF(B67=N70,O70)))</f>
        <v>0</v>
      </c>
      <c r="F67" s="288" t="s">
        <v>16</v>
      </c>
      <c r="G67" s="448">
        <v>0</v>
      </c>
      <c r="H67" s="293" t="s">
        <v>141</v>
      </c>
      <c r="I67" s="449">
        <f>ROUND(E67-E67*G67,2)</f>
        <v>0</v>
      </c>
      <c r="L67" s="829"/>
      <c r="M67" s="829"/>
      <c r="N67" s="450" t="s">
        <v>291</v>
      </c>
      <c r="O67" s="116">
        <v>175</v>
      </c>
    </row>
    <row r="68" spans="1:15" ht="15.75" thickBot="1" x14ac:dyDescent="0.3">
      <c r="A68" s="288"/>
      <c r="B68" s="288"/>
      <c r="C68" s="288"/>
      <c r="D68" s="451">
        <f>I67</f>
        <v>0</v>
      </c>
      <c r="E68" s="288" t="s">
        <v>16</v>
      </c>
      <c r="F68" s="288"/>
      <c r="G68" s="288">
        <v>100</v>
      </c>
      <c r="H68" s="288" t="s">
        <v>342</v>
      </c>
      <c r="I68" s="449">
        <f>ROUND(D68-D68*G68%,2)</f>
        <v>0</v>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v>0</v>
      </c>
      <c r="D70" s="288"/>
      <c r="E70" s="288">
        <f>$H$7/100</f>
        <v>1.7919999999999998</v>
      </c>
      <c r="F70" s="453" t="s">
        <v>13</v>
      </c>
      <c r="G70" s="288"/>
      <c r="H70" s="454" t="s">
        <v>9</v>
      </c>
      <c r="I70" s="449">
        <f>ROUND(C70*E70,2)</f>
        <v>0</v>
      </c>
      <c r="J70" s="455"/>
      <c r="L70" s="829"/>
      <c r="M70" s="829"/>
      <c r="N70" s="456" t="s">
        <v>302</v>
      </c>
    </row>
    <row r="71" spans="1:15" x14ac:dyDescent="0.25">
      <c r="A71" s="288" t="s">
        <v>442</v>
      </c>
      <c r="B71" s="288"/>
      <c r="C71" s="288"/>
      <c r="D71" s="288"/>
      <c r="E71" s="288"/>
      <c r="F71" s="445">
        <v>0</v>
      </c>
      <c r="G71" s="288" t="s">
        <v>17</v>
      </c>
      <c r="H71" s="451">
        <f>I70</f>
        <v>0</v>
      </c>
      <c r="I71" s="457" t="s">
        <v>9</v>
      </c>
      <c r="K71" s="458">
        <f>ROUND(F71*H71,2)</f>
        <v>0</v>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v>0</v>
      </c>
      <c r="D75" s="836" t="s">
        <v>303</v>
      </c>
      <c r="E75" s="836"/>
      <c r="F75" s="845">
        <f>ROUND(F74-F74*C75/100,2)</f>
        <v>470</v>
      </c>
      <c r="G75" s="845"/>
      <c r="H75" s="407" t="s">
        <v>49</v>
      </c>
      <c r="I75" s="461"/>
      <c r="J75" s="372" t="s">
        <v>26</v>
      </c>
      <c r="K75" s="458">
        <f>IF(E76 ="fehlt",0,ROUND(F75*I75,2))</f>
        <v>0</v>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v>0</v>
      </c>
      <c r="F79" s="372" t="s">
        <v>181</v>
      </c>
      <c r="H79" s="565">
        <f>G78/100*3</f>
        <v>0</v>
      </c>
      <c r="I79" s="372" t="s">
        <v>182</v>
      </c>
      <c r="J79" s="399" t="s">
        <v>9</v>
      </c>
      <c r="K79" s="458">
        <f>IF(C79&gt;74,ROUND(E79-E79*H79,2),0)</f>
        <v>0</v>
      </c>
      <c r="N79" s="464" t="s">
        <v>339</v>
      </c>
    </row>
    <row r="80" spans="1:15" ht="15.75" thickBot="1" x14ac:dyDescent="0.3">
      <c r="A80"/>
      <c r="B80"/>
      <c r="C80"/>
      <c r="D80"/>
      <c r="E80"/>
      <c r="F80"/>
      <c r="G80"/>
      <c r="H80"/>
      <c r="I80"/>
      <c r="J80"/>
      <c r="K80" s="459"/>
      <c r="N80" s="465">
        <f>SUM(K61:K77)</f>
        <v>0</v>
      </c>
    </row>
    <row r="81" spans="1:11" ht="16.5" thickTop="1" thickBot="1" x14ac:dyDescent="0.3">
      <c r="A81" s="846" t="s">
        <v>33</v>
      </c>
      <c r="B81" s="846"/>
      <c r="C81" s="846"/>
      <c r="D81" s="846"/>
      <c r="E81" s="846"/>
      <c r="F81" s="846"/>
      <c r="G81" s="846"/>
      <c r="H81" s="846"/>
      <c r="I81" s="846"/>
      <c r="J81" s="847"/>
      <c r="K81" s="466">
        <f>K52+K61+K71+K75+K77+K79</f>
        <v>0</v>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v>0</v>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v>.</v>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v>5</v>
      </c>
      <c r="G104" s="613">
        <v>50</v>
      </c>
      <c r="H104" s="612">
        <f>SUM(F104*G104)</f>
        <v>250</v>
      </c>
      <c r="J104" s="594"/>
      <c r="M104" s="820" t="s">
        <v>304</v>
      </c>
      <c r="N104" s="821"/>
      <c r="O104" s="822"/>
    </row>
    <row r="105" spans="1:15" ht="19.899999999999999" customHeight="1" thickBot="1" x14ac:dyDescent="0.3">
      <c r="A105" s="375" t="s">
        <v>609</v>
      </c>
      <c r="B105" s="790" t="s">
        <v>634</v>
      </c>
      <c r="C105" s="790"/>
      <c r="D105" s="790"/>
      <c r="E105" s="790"/>
      <c r="F105" s="704"/>
      <c r="G105" s="705"/>
      <c r="H105" s="706">
        <v>150</v>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v>0</v>
      </c>
      <c r="D108" s="841"/>
      <c r="E108" s="372" t="s">
        <v>121</v>
      </c>
      <c r="F108" s="851">
        <f>Formalien!$E$12</f>
        <v>0</v>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v>0</v>
      </c>
      <c r="F1" s="914"/>
    </row>
    <row r="2" spans="1:8" ht="15.75" thickBot="1" x14ac:dyDescent="0.3">
      <c r="A2" s="555" t="s">
        <v>176</v>
      </c>
      <c r="B2" s="80"/>
      <c r="C2" s="80"/>
      <c r="D2" s="80"/>
      <c r="E2" s="917">
        <f>Formalien!$E$5</f>
        <v>0</v>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v>0.05</v>
      </c>
    </row>
    <row r="45" spans="1:7" ht="15.75" thickBot="1" x14ac:dyDescent="0.3">
      <c r="A45" s="879" t="s">
        <v>353</v>
      </c>
      <c r="B45" s="879"/>
      <c r="C45" s="879"/>
      <c r="D45" s="879"/>
      <c r="F45" s="556"/>
    </row>
    <row r="46" spans="1:7" ht="15.75" thickBot="1" x14ac:dyDescent="0.3">
      <c r="A46" s="168"/>
      <c r="B46" s="168"/>
      <c r="C46" s="168"/>
      <c r="E46" s="79" t="s">
        <v>288</v>
      </c>
      <c r="F46" s="588">
        <f>SUM(F2:F45)</f>
        <v>0.05</v>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v>0</v>
      </c>
      <c r="E2" s="795"/>
      <c r="F2" s="795"/>
      <c r="G2" s="795"/>
      <c r="K2" s="364" t="s">
        <v>519</v>
      </c>
      <c r="L2" s="619">
        <f>Formalien!$E$4</f>
        <v>0</v>
      </c>
    </row>
    <row r="3" spans="1:22" s="331" customFormat="1" ht="15.6" customHeight="1" x14ac:dyDescent="0.25">
      <c r="A3" s="364" t="s">
        <v>65</v>
      </c>
      <c r="B3" s="371"/>
      <c r="C3" s="371"/>
      <c r="D3" s="371"/>
      <c r="E3" s="537">
        <f>Formalien!$E$16</f>
        <v>0</v>
      </c>
      <c r="F3" s="927" t="s">
        <v>557</v>
      </c>
      <c r="G3" s="928"/>
      <c r="H3" s="928"/>
      <c r="I3" s="928"/>
      <c r="J3" s="617">
        <f>(E3-24)/100*6</f>
        <v>-1.44</v>
      </c>
      <c r="K3" s="338" t="s">
        <v>79</v>
      </c>
    </row>
    <row r="4" spans="1:22" s="331" customFormat="1" ht="15.6" customHeight="1" x14ac:dyDescent="0.25">
      <c r="A4" s="364" t="s">
        <v>0</v>
      </c>
      <c r="B4" s="371"/>
      <c r="C4" s="371"/>
      <c r="D4" s="371"/>
      <c r="E4" s="930">
        <f>Formalien!$E$6</f>
        <v>0</v>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v>0</v>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v>0</v>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v>0</v>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v>0</v>
      </c>
      <c r="T18" s="472"/>
      <c r="U18" s="472"/>
      <c r="V18" s="472"/>
    </row>
    <row r="19" spans="1:22" s="367" customFormat="1" ht="18" customHeight="1" x14ac:dyDescent="0.25">
      <c r="A19" s="582"/>
      <c r="B19" s="575"/>
      <c r="C19" s="920"/>
      <c r="D19" s="920"/>
      <c r="E19" s="920"/>
      <c r="F19" s="920"/>
      <c r="G19" s="920"/>
      <c r="H19" s="920"/>
      <c r="I19" s="920"/>
      <c r="J19" s="920"/>
      <c r="K19" s="669"/>
      <c r="L19" s="670">
        <f t="shared" si="0"/>
        <v>0</v>
      </c>
    </row>
    <row r="20" spans="1:22" s="367" customFormat="1" ht="18" customHeight="1" x14ac:dyDescent="0.25">
      <c r="A20" s="582"/>
      <c r="B20" s="575"/>
      <c r="C20" s="920"/>
      <c r="D20" s="920"/>
      <c r="E20" s="920"/>
      <c r="F20" s="920"/>
      <c r="G20" s="920"/>
      <c r="H20" s="920"/>
      <c r="I20" s="920"/>
      <c r="J20" s="920"/>
      <c r="K20" s="669"/>
      <c r="L20" s="670">
        <f t="shared" si="0"/>
        <v>0</v>
      </c>
    </row>
    <row r="21" spans="1:22" s="367" customFormat="1" ht="18" customHeight="1" x14ac:dyDescent="0.25">
      <c r="A21" s="582"/>
      <c r="B21" s="575"/>
      <c r="C21" s="920"/>
      <c r="D21" s="920"/>
      <c r="E21" s="920"/>
      <c r="F21" s="920"/>
      <c r="G21" s="920"/>
      <c r="H21" s="920"/>
      <c r="I21" s="920"/>
      <c r="J21" s="920"/>
      <c r="K21" s="669"/>
      <c r="L21" s="670">
        <f t="shared" si="0"/>
        <v>0</v>
      </c>
    </row>
    <row r="22" spans="1:22" s="367" customFormat="1" ht="18" customHeight="1" x14ac:dyDescent="0.25">
      <c r="A22" s="582"/>
      <c r="B22" s="575"/>
      <c r="C22" s="920"/>
      <c r="D22" s="920"/>
      <c r="E22" s="920"/>
      <c r="F22" s="920"/>
      <c r="G22" s="920"/>
      <c r="H22" s="920"/>
      <c r="I22" s="920"/>
      <c r="J22" s="920"/>
      <c r="K22" s="669"/>
      <c r="L22" s="670">
        <f t="shared" si="0"/>
        <v>0</v>
      </c>
    </row>
    <row r="23" spans="1:22" s="473" customFormat="1" ht="18" customHeight="1" x14ac:dyDescent="0.25">
      <c r="A23" s="582"/>
      <c r="B23" s="574"/>
      <c r="C23" s="920"/>
      <c r="D23" s="920"/>
      <c r="E23" s="920"/>
      <c r="F23" s="920"/>
      <c r="G23" s="920"/>
      <c r="H23" s="920"/>
      <c r="I23" s="920"/>
      <c r="J23" s="920"/>
      <c r="K23" s="669"/>
      <c r="L23" s="670">
        <f t="shared" si="0"/>
        <v>0</v>
      </c>
      <c r="O23" s="367"/>
    </row>
    <row r="24" spans="1:22" ht="18" customHeight="1" x14ac:dyDescent="0.25">
      <c r="A24" s="582"/>
      <c r="B24" s="574"/>
      <c r="C24" s="920"/>
      <c r="D24" s="920"/>
      <c r="E24" s="920"/>
      <c r="F24" s="920"/>
      <c r="G24" s="920"/>
      <c r="H24" s="920"/>
      <c r="I24" s="920"/>
      <c r="J24" s="920"/>
      <c r="K24" s="669"/>
      <c r="L24" s="670">
        <f t="shared" si="0"/>
        <v>0</v>
      </c>
      <c r="O24" s="367"/>
    </row>
    <row r="25" spans="1:22" s="367" customFormat="1" ht="18" customHeight="1" x14ac:dyDescent="0.25">
      <c r="A25" s="582"/>
      <c r="B25" s="574"/>
      <c r="C25" s="920"/>
      <c r="D25" s="920"/>
      <c r="E25" s="920"/>
      <c r="F25" s="920"/>
      <c r="G25" s="920"/>
      <c r="H25" s="920"/>
      <c r="I25" s="920"/>
      <c r="J25" s="920"/>
      <c r="K25" s="669"/>
      <c r="L25" s="670">
        <f t="shared" si="0"/>
        <v>0</v>
      </c>
    </row>
    <row r="26" spans="1:22" s="367" customFormat="1" ht="18" customHeight="1" x14ac:dyDescent="0.25">
      <c r="A26" s="582"/>
      <c r="B26" s="574"/>
      <c r="C26" s="920"/>
      <c r="D26" s="920"/>
      <c r="E26" s="920"/>
      <c r="F26" s="920"/>
      <c r="G26" s="920"/>
      <c r="H26" s="920"/>
      <c r="I26" s="920"/>
      <c r="J26" s="920"/>
      <c r="K26" s="669"/>
      <c r="L26" s="670">
        <f t="shared" si="0"/>
        <v>0</v>
      </c>
    </row>
    <row r="27" spans="1:22" s="367" customFormat="1" ht="18" customHeight="1" x14ac:dyDescent="0.25">
      <c r="A27" s="582"/>
      <c r="B27" s="574"/>
      <c r="C27" s="920"/>
      <c r="D27" s="920"/>
      <c r="E27" s="920"/>
      <c r="F27" s="920"/>
      <c r="G27" s="920"/>
      <c r="H27" s="920"/>
      <c r="I27" s="920"/>
      <c r="J27" s="920"/>
      <c r="K27" s="669"/>
      <c r="L27" s="670">
        <f t="shared" si="0"/>
        <v>0</v>
      </c>
    </row>
    <row r="28" spans="1:22" s="367" customFormat="1" ht="18" customHeight="1" x14ac:dyDescent="0.25">
      <c r="A28" s="582"/>
      <c r="B28" s="574"/>
      <c r="C28" s="920"/>
      <c r="D28" s="920"/>
      <c r="E28" s="920"/>
      <c r="F28" s="920"/>
      <c r="G28" s="920"/>
      <c r="H28" s="920"/>
      <c r="I28" s="920"/>
      <c r="J28" s="920"/>
      <c r="K28" s="669"/>
      <c r="L28" s="670">
        <f t="shared" si="0"/>
        <v>0</v>
      </c>
    </row>
    <row r="29" spans="1:22" s="475" customFormat="1" ht="18" customHeight="1" x14ac:dyDescent="0.25">
      <c r="A29" s="582"/>
      <c r="B29" s="574"/>
      <c r="C29" s="920"/>
      <c r="D29" s="920"/>
      <c r="E29" s="920"/>
      <c r="F29" s="920"/>
      <c r="G29" s="920"/>
      <c r="H29" s="920"/>
      <c r="I29" s="920"/>
      <c r="J29" s="920"/>
      <c r="K29" s="669"/>
      <c r="L29" s="670">
        <f t="shared" si="0"/>
        <v>0</v>
      </c>
      <c r="O29" s="367"/>
    </row>
    <row r="30" spans="1:22" s="367" customFormat="1" ht="18" customHeight="1" x14ac:dyDescent="0.25">
      <c r="A30" s="582"/>
      <c r="B30" s="574"/>
      <c r="C30" s="920"/>
      <c r="D30" s="920"/>
      <c r="E30" s="920"/>
      <c r="F30" s="920"/>
      <c r="G30" s="920"/>
      <c r="H30" s="920"/>
      <c r="I30" s="920"/>
      <c r="J30" s="920"/>
      <c r="K30" s="669"/>
      <c r="L30" s="670">
        <f t="shared" si="0"/>
        <v>0</v>
      </c>
    </row>
    <row r="31" spans="1:22" s="367" customFormat="1" ht="18" customHeight="1" x14ac:dyDescent="0.25">
      <c r="A31" s="582"/>
      <c r="B31" s="574"/>
      <c r="C31" s="920"/>
      <c r="D31" s="920"/>
      <c r="E31" s="920"/>
      <c r="F31" s="920"/>
      <c r="G31" s="920"/>
      <c r="H31" s="920"/>
      <c r="I31" s="920"/>
      <c r="J31" s="920"/>
      <c r="K31" s="669"/>
      <c r="L31" s="670">
        <f t="shared" si="0"/>
        <v>0</v>
      </c>
    </row>
    <row r="32" spans="1:22" ht="18" customHeight="1" x14ac:dyDescent="0.25">
      <c r="A32" s="582"/>
      <c r="B32" s="574"/>
      <c r="C32" s="920"/>
      <c r="D32" s="920"/>
      <c r="E32" s="920"/>
      <c r="F32" s="920"/>
      <c r="G32" s="920"/>
      <c r="H32" s="920"/>
      <c r="I32" s="920"/>
      <c r="J32" s="920"/>
      <c r="K32" s="669"/>
      <c r="L32" s="670">
        <f t="shared" si="0"/>
        <v>0</v>
      </c>
      <c r="O32" s="367"/>
    </row>
    <row r="33" spans="1:12" s="367" customFormat="1" ht="18" customHeight="1" x14ac:dyDescent="0.25">
      <c r="A33" s="582"/>
      <c r="B33" s="575"/>
      <c r="C33" s="920"/>
      <c r="D33" s="920"/>
      <c r="E33" s="920"/>
      <c r="F33" s="920"/>
      <c r="G33" s="920"/>
      <c r="H33" s="920"/>
      <c r="I33" s="920"/>
      <c r="J33" s="920"/>
      <c r="K33" s="669"/>
      <c r="L33" s="670">
        <f t="shared" si="0"/>
        <v>0</v>
      </c>
    </row>
    <row r="34" spans="1:12" s="367" customFormat="1" ht="18" customHeight="1" x14ac:dyDescent="0.25">
      <c r="A34" s="582"/>
      <c r="B34" s="575"/>
      <c r="C34" s="920"/>
      <c r="D34" s="920"/>
      <c r="E34" s="920"/>
      <c r="F34" s="920"/>
      <c r="G34" s="920"/>
      <c r="H34" s="920"/>
      <c r="I34" s="920"/>
      <c r="J34" s="920"/>
      <c r="K34" s="669"/>
      <c r="L34" s="670">
        <f t="shared" si="0"/>
        <v>0</v>
      </c>
    </row>
    <row r="35" spans="1:12" s="367" customFormat="1" ht="18" customHeight="1" x14ac:dyDescent="0.25">
      <c r="A35" s="582"/>
      <c r="B35" s="575"/>
      <c r="C35" s="920"/>
      <c r="D35" s="920"/>
      <c r="E35" s="920"/>
      <c r="F35" s="920"/>
      <c r="G35" s="920"/>
      <c r="H35" s="920"/>
      <c r="I35" s="920"/>
      <c r="J35" s="920"/>
      <c r="K35" s="669"/>
      <c r="L35" s="670">
        <f t="shared" si="0"/>
        <v>0</v>
      </c>
    </row>
    <row r="36" spans="1:12" s="367" customFormat="1" ht="18" customHeight="1" x14ac:dyDescent="0.25">
      <c r="A36" s="582"/>
      <c r="B36" s="575"/>
      <c r="C36" s="920"/>
      <c r="D36" s="920"/>
      <c r="E36" s="920"/>
      <c r="F36" s="920"/>
      <c r="G36" s="920"/>
      <c r="H36" s="920"/>
      <c r="I36" s="920"/>
      <c r="J36" s="920"/>
      <c r="K36" s="669"/>
      <c r="L36" s="670">
        <f t="shared" si="0"/>
        <v>0</v>
      </c>
    </row>
    <row r="37" spans="1:12" s="367" customFormat="1" ht="18" customHeight="1" x14ac:dyDescent="0.25">
      <c r="A37" s="582"/>
      <c r="B37" s="575"/>
      <c r="C37" s="920"/>
      <c r="D37" s="920"/>
      <c r="E37" s="920"/>
      <c r="F37" s="920"/>
      <c r="G37" s="920"/>
      <c r="H37" s="920"/>
      <c r="I37" s="920"/>
      <c r="J37" s="920"/>
      <c r="K37" s="669"/>
      <c r="L37" s="670">
        <f t="shared" si="0"/>
        <v>0</v>
      </c>
    </row>
    <row r="38" spans="1:12" s="367" customFormat="1" ht="18" customHeight="1" x14ac:dyDescent="0.25">
      <c r="A38" s="582"/>
      <c r="B38" s="575"/>
      <c r="C38" s="920"/>
      <c r="D38" s="920"/>
      <c r="E38" s="920"/>
      <c r="F38" s="920"/>
      <c r="G38" s="920"/>
      <c r="H38" s="920"/>
      <c r="I38" s="920"/>
      <c r="J38" s="920"/>
      <c r="K38" s="669"/>
      <c r="L38" s="670">
        <f t="shared" si="0"/>
        <v>0</v>
      </c>
    </row>
    <row r="39" spans="1:12" s="367" customFormat="1" ht="18" customHeight="1" x14ac:dyDescent="0.25">
      <c r="A39" s="582"/>
      <c r="B39" s="575"/>
      <c r="C39" s="920"/>
      <c r="D39" s="920"/>
      <c r="E39" s="920"/>
      <c r="F39" s="920"/>
      <c r="G39" s="920"/>
      <c r="H39" s="920"/>
      <c r="I39" s="920"/>
      <c r="J39" s="920"/>
      <c r="K39" s="669"/>
      <c r="L39" s="670">
        <f t="shared" si="0"/>
        <v>0</v>
      </c>
    </row>
    <row r="40" spans="1:12" s="367" customFormat="1" ht="18" customHeight="1" x14ac:dyDescent="0.25">
      <c r="A40" s="582"/>
      <c r="B40" s="575"/>
      <c r="C40" s="924"/>
      <c r="D40" s="925"/>
      <c r="E40" s="925"/>
      <c r="F40" s="925"/>
      <c r="G40" s="925"/>
      <c r="H40" s="925"/>
      <c r="I40" s="925"/>
      <c r="J40" s="926"/>
      <c r="K40" s="669"/>
      <c r="L40" s="670">
        <f t="shared" si="0"/>
        <v>0</v>
      </c>
    </row>
    <row r="41" spans="1:12" s="367" customFormat="1" ht="18" customHeight="1" x14ac:dyDescent="0.25">
      <c r="A41" s="582"/>
      <c r="B41" s="575"/>
      <c r="C41" s="924"/>
      <c r="D41" s="925"/>
      <c r="E41" s="925"/>
      <c r="F41" s="925"/>
      <c r="G41" s="925"/>
      <c r="H41" s="925"/>
      <c r="I41" s="925"/>
      <c r="J41" s="926"/>
      <c r="K41" s="669"/>
      <c r="L41" s="670">
        <f t="shared" si="0"/>
        <v>0</v>
      </c>
    </row>
    <row r="42" spans="1:12" s="367" customFormat="1" ht="18" customHeight="1" x14ac:dyDescent="0.25">
      <c r="A42" s="582"/>
      <c r="B42" s="575"/>
      <c r="C42" s="924"/>
      <c r="D42" s="925"/>
      <c r="E42" s="925"/>
      <c r="F42" s="925"/>
      <c r="G42" s="925"/>
      <c r="H42" s="925"/>
      <c r="I42" s="925"/>
      <c r="J42" s="926"/>
      <c r="K42" s="669"/>
      <c r="L42" s="670">
        <f t="shared" si="0"/>
        <v>0</v>
      </c>
    </row>
    <row r="43" spans="1:12" s="367" customFormat="1" ht="18" customHeight="1" x14ac:dyDescent="0.25">
      <c r="A43" s="582"/>
      <c r="B43" s="575"/>
      <c r="C43" s="924"/>
      <c r="D43" s="925"/>
      <c r="E43" s="925"/>
      <c r="F43" s="925"/>
      <c r="G43" s="925"/>
      <c r="H43" s="925"/>
      <c r="I43" s="925"/>
      <c r="J43" s="926"/>
      <c r="K43" s="669"/>
      <c r="L43" s="670">
        <f t="shared" si="0"/>
        <v>0</v>
      </c>
    </row>
    <row r="44" spans="1:12" s="367" customFormat="1" ht="18" customHeight="1" x14ac:dyDescent="0.25">
      <c r="A44" s="582"/>
      <c r="B44" s="575"/>
      <c r="C44" s="920"/>
      <c r="D44" s="920"/>
      <c r="E44" s="920"/>
      <c r="F44" s="920"/>
      <c r="G44" s="920"/>
      <c r="H44" s="920"/>
      <c r="I44" s="920"/>
      <c r="J44" s="920"/>
      <c r="K44" s="669"/>
      <c r="L44" s="670">
        <f t="shared" ref="L44" si="1">ROUND(A44*K44,2)</f>
        <v>0</v>
      </c>
    </row>
    <row r="45" spans="1:12" s="367" customFormat="1" ht="18" customHeight="1" thickBot="1" x14ac:dyDescent="0.3">
      <c r="A45" s="583"/>
      <c r="B45" s="576"/>
      <c r="C45" s="956"/>
      <c r="D45" s="956"/>
      <c r="E45" s="956"/>
      <c r="F45" s="956"/>
      <c r="G45" s="956"/>
      <c r="H45" s="956"/>
      <c r="I45" s="956"/>
      <c r="J45" s="956"/>
      <c r="K45" s="671"/>
      <c r="L45" s="672">
        <f t="shared" si="0"/>
        <v>0</v>
      </c>
    </row>
    <row r="46" spans="1:12" s="367" customFormat="1" ht="19.899999999999999" customHeight="1" thickBot="1" x14ac:dyDescent="0.3">
      <c r="B46" s="491"/>
      <c r="C46" s="491"/>
      <c r="D46" s="491"/>
      <c r="E46" s="491"/>
      <c r="F46" s="491"/>
      <c r="G46" s="491"/>
      <c r="H46" s="491"/>
      <c r="I46" s="953" t="s">
        <v>544</v>
      </c>
      <c r="J46" s="953"/>
      <c r="K46" s="954"/>
      <c r="L46" s="651">
        <f>SUM(L15:L45)</f>
        <v>0</v>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v>0</v>
      </c>
      <c r="D48" s="795"/>
      <c r="E48" s="538"/>
      <c r="F48" s="538"/>
      <c r="G48" s="539" t="s">
        <v>528</v>
      </c>
      <c r="H48" s="922">
        <f>Formalien!$E$13</f>
        <v>0</v>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v>0</v>
      </c>
      <c r="E2" s="958"/>
      <c r="F2" s="958"/>
      <c r="G2" s="958"/>
      <c r="H2" s="958"/>
      <c r="I2" s="958"/>
      <c r="J2" s="618"/>
      <c r="K2" s="614" t="s">
        <v>519</v>
      </c>
      <c r="L2" s="619">
        <f>Formalien!$E$4</f>
        <v>0</v>
      </c>
    </row>
    <row r="3" spans="1:12" ht="15.6" customHeight="1" x14ac:dyDescent="0.2">
      <c r="A3" s="614" t="s">
        <v>65</v>
      </c>
      <c r="B3" s="615"/>
      <c r="C3" s="615"/>
      <c r="D3" s="615"/>
      <c r="E3" s="616">
        <f>Formalien!$E$16</f>
        <v>0</v>
      </c>
      <c r="F3" s="927"/>
      <c r="G3" s="959"/>
      <c r="H3" s="959"/>
      <c r="I3" s="959"/>
      <c r="J3" s="620"/>
      <c r="K3" s="621"/>
      <c r="L3" s="618"/>
    </row>
    <row r="4" spans="1:12" ht="15.6" customHeight="1" x14ac:dyDescent="0.2">
      <c r="A4" s="614" t="s">
        <v>0</v>
      </c>
      <c r="B4" s="615"/>
      <c r="C4" s="615"/>
      <c r="D4" s="615"/>
      <c r="E4" s="930">
        <f>Formalien!$E$6</f>
        <v>0</v>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v>0</v>
      </c>
    </row>
    <row r="19" spans="1:12" ht="18" customHeight="1" x14ac:dyDescent="0.2">
      <c r="A19" s="584"/>
      <c r="B19" s="577"/>
      <c r="C19" s="960"/>
      <c r="D19" s="960"/>
      <c r="E19" s="960"/>
      <c r="F19" s="960"/>
      <c r="G19" s="960"/>
      <c r="H19" s="960"/>
      <c r="I19" s="961"/>
      <c r="J19" s="961"/>
      <c r="K19" s="675"/>
      <c r="L19" s="666">
        <f t="shared" si="0"/>
        <v>0</v>
      </c>
    </row>
    <row r="20" spans="1:12" ht="18" customHeight="1" x14ac:dyDescent="0.2">
      <c r="A20" s="584"/>
      <c r="B20" s="577"/>
      <c r="C20" s="960"/>
      <c r="D20" s="960"/>
      <c r="E20" s="960"/>
      <c r="F20" s="960"/>
      <c r="G20" s="960"/>
      <c r="H20" s="960"/>
      <c r="I20" s="961"/>
      <c r="J20" s="961"/>
      <c r="K20" s="675"/>
      <c r="L20" s="666">
        <f t="shared" si="0"/>
        <v>0</v>
      </c>
    </row>
    <row r="21" spans="1:12" ht="18" customHeight="1" x14ac:dyDescent="0.2">
      <c r="A21" s="584"/>
      <c r="B21" s="577"/>
      <c r="C21" s="960"/>
      <c r="D21" s="960"/>
      <c r="E21" s="960"/>
      <c r="F21" s="960"/>
      <c r="G21" s="960"/>
      <c r="H21" s="960"/>
      <c r="I21" s="961"/>
      <c r="J21" s="961"/>
      <c r="K21" s="675"/>
      <c r="L21" s="666">
        <f t="shared" si="0"/>
        <v>0</v>
      </c>
    </row>
    <row r="22" spans="1:12" ht="18" customHeight="1" x14ac:dyDescent="0.2">
      <c r="A22" s="584"/>
      <c r="B22" s="577"/>
      <c r="C22" s="960"/>
      <c r="D22" s="960"/>
      <c r="E22" s="960"/>
      <c r="F22" s="960"/>
      <c r="G22" s="960"/>
      <c r="H22" s="960"/>
      <c r="I22" s="961"/>
      <c r="J22" s="961"/>
      <c r="K22" s="675"/>
      <c r="L22" s="666">
        <f t="shared" si="0"/>
        <v>0</v>
      </c>
    </row>
    <row r="23" spans="1:12" ht="18" customHeight="1" x14ac:dyDescent="0.2">
      <c r="A23" s="584"/>
      <c r="B23" s="577"/>
      <c r="C23" s="960"/>
      <c r="D23" s="960"/>
      <c r="E23" s="960"/>
      <c r="F23" s="960"/>
      <c r="G23" s="960"/>
      <c r="H23" s="960"/>
      <c r="I23" s="961"/>
      <c r="J23" s="961"/>
      <c r="K23" s="675"/>
      <c r="L23" s="666">
        <f t="shared" ref="L23:L45" si="1">ROUND(A23*K23,2)</f>
        <v>0</v>
      </c>
    </row>
    <row r="24" spans="1:12" ht="18" customHeight="1" x14ac:dyDescent="0.2">
      <c r="A24" s="584"/>
      <c r="B24" s="577"/>
      <c r="C24" s="960"/>
      <c r="D24" s="960"/>
      <c r="E24" s="960"/>
      <c r="F24" s="960"/>
      <c r="G24" s="960"/>
      <c r="H24" s="960"/>
      <c r="I24" s="961"/>
      <c r="J24" s="961"/>
      <c r="K24" s="675"/>
      <c r="L24" s="666">
        <f t="shared" si="1"/>
        <v>0</v>
      </c>
    </row>
    <row r="25" spans="1:12" ht="18" customHeight="1" x14ac:dyDescent="0.2">
      <c r="A25" s="584"/>
      <c r="B25" s="577"/>
      <c r="C25" s="960"/>
      <c r="D25" s="960"/>
      <c r="E25" s="960"/>
      <c r="F25" s="960"/>
      <c r="G25" s="960"/>
      <c r="H25" s="960"/>
      <c r="I25" s="961"/>
      <c r="J25" s="961"/>
      <c r="K25" s="675"/>
      <c r="L25" s="666">
        <f t="shared" si="1"/>
        <v>0</v>
      </c>
    </row>
    <row r="26" spans="1:12" ht="18" customHeight="1" x14ac:dyDescent="0.2">
      <c r="A26" s="584"/>
      <c r="B26" s="577"/>
      <c r="C26" s="960"/>
      <c r="D26" s="960"/>
      <c r="E26" s="960"/>
      <c r="F26" s="960"/>
      <c r="G26" s="960"/>
      <c r="H26" s="960"/>
      <c r="I26" s="961"/>
      <c r="J26" s="961"/>
      <c r="K26" s="675"/>
      <c r="L26" s="666">
        <f t="shared" si="1"/>
        <v>0</v>
      </c>
    </row>
    <row r="27" spans="1:12" ht="18" customHeight="1" x14ac:dyDescent="0.2">
      <c r="A27" s="584"/>
      <c r="B27" s="577"/>
      <c r="C27" s="960"/>
      <c r="D27" s="960"/>
      <c r="E27" s="960"/>
      <c r="F27" s="960"/>
      <c r="G27" s="960"/>
      <c r="H27" s="960"/>
      <c r="I27" s="961"/>
      <c r="J27" s="961"/>
      <c r="K27" s="675"/>
      <c r="L27" s="666">
        <f t="shared" si="1"/>
        <v>0</v>
      </c>
    </row>
    <row r="28" spans="1:12" ht="18" customHeight="1" x14ac:dyDescent="0.2">
      <c r="A28" s="584"/>
      <c r="B28" s="577"/>
      <c r="C28" s="960"/>
      <c r="D28" s="960"/>
      <c r="E28" s="960"/>
      <c r="F28" s="960"/>
      <c r="G28" s="960"/>
      <c r="H28" s="960"/>
      <c r="I28" s="961"/>
      <c r="J28" s="961"/>
      <c r="K28" s="675"/>
      <c r="L28" s="666">
        <f t="shared" si="1"/>
        <v>0</v>
      </c>
    </row>
    <row r="29" spans="1:12" ht="18" customHeight="1" x14ac:dyDescent="0.2">
      <c r="A29" s="584"/>
      <c r="B29" s="577"/>
      <c r="C29" s="960"/>
      <c r="D29" s="960"/>
      <c r="E29" s="960"/>
      <c r="F29" s="960"/>
      <c r="G29" s="960"/>
      <c r="H29" s="960"/>
      <c r="I29" s="961"/>
      <c r="J29" s="961"/>
      <c r="K29" s="675"/>
      <c r="L29" s="666">
        <f t="shared" si="1"/>
        <v>0</v>
      </c>
    </row>
    <row r="30" spans="1:12" ht="18" customHeight="1" x14ac:dyDescent="0.2">
      <c r="A30" s="584"/>
      <c r="B30" s="577"/>
      <c r="C30" s="960"/>
      <c r="D30" s="960"/>
      <c r="E30" s="960"/>
      <c r="F30" s="960"/>
      <c r="G30" s="960"/>
      <c r="H30" s="960"/>
      <c r="I30" s="961"/>
      <c r="J30" s="961"/>
      <c r="K30" s="675"/>
      <c r="L30" s="666">
        <f t="shared" si="1"/>
        <v>0</v>
      </c>
    </row>
    <row r="31" spans="1:12" ht="18" customHeight="1" x14ac:dyDescent="0.2">
      <c r="A31" s="584"/>
      <c r="B31" s="577"/>
      <c r="C31" s="960"/>
      <c r="D31" s="960"/>
      <c r="E31" s="960"/>
      <c r="F31" s="960"/>
      <c r="G31" s="960"/>
      <c r="H31" s="960"/>
      <c r="I31" s="961"/>
      <c r="J31" s="961"/>
      <c r="K31" s="675"/>
      <c r="L31" s="666">
        <f t="shared" si="1"/>
        <v>0</v>
      </c>
    </row>
    <row r="32" spans="1:12" ht="18" customHeight="1" x14ac:dyDescent="0.2">
      <c r="A32" s="584"/>
      <c r="B32" s="577"/>
      <c r="C32" s="960"/>
      <c r="D32" s="960"/>
      <c r="E32" s="960"/>
      <c r="F32" s="960"/>
      <c r="G32" s="960"/>
      <c r="H32" s="960"/>
      <c r="I32" s="961"/>
      <c r="J32" s="961"/>
      <c r="K32" s="675"/>
      <c r="L32" s="666">
        <f t="shared" si="1"/>
        <v>0</v>
      </c>
    </row>
    <row r="33" spans="1:12" ht="18" customHeight="1" x14ac:dyDescent="0.2">
      <c r="A33" s="584"/>
      <c r="B33" s="577"/>
      <c r="C33" s="960"/>
      <c r="D33" s="960"/>
      <c r="E33" s="960"/>
      <c r="F33" s="960"/>
      <c r="G33" s="960"/>
      <c r="H33" s="960"/>
      <c r="I33" s="961"/>
      <c r="J33" s="961"/>
      <c r="K33" s="675"/>
      <c r="L33" s="666">
        <f t="shared" si="1"/>
        <v>0</v>
      </c>
    </row>
    <row r="34" spans="1:12" ht="18" customHeight="1" x14ac:dyDescent="0.2">
      <c r="A34" s="584"/>
      <c r="B34" s="577"/>
      <c r="C34" s="960"/>
      <c r="D34" s="960"/>
      <c r="E34" s="960"/>
      <c r="F34" s="960"/>
      <c r="G34" s="960"/>
      <c r="H34" s="960"/>
      <c r="I34" s="961"/>
      <c r="J34" s="961"/>
      <c r="K34" s="675"/>
      <c r="L34" s="666">
        <f t="shared" si="1"/>
        <v>0</v>
      </c>
    </row>
    <row r="35" spans="1:12" ht="18" customHeight="1" x14ac:dyDescent="0.2">
      <c r="A35" s="584"/>
      <c r="B35" s="577"/>
      <c r="C35" s="960"/>
      <c r="D35" s="960"/>
      <c r="E35" s="960"/>
      <c r="F35" s="960"/>
      <c r="G35" s="960"/>
      <c r="H35" s="960"/>
      <c r="I35" s="961"/>
      <c r="J35" s="961"/>
      <c r="K35" s="675"/>
      <c r="L35" s="666">
        <f t="shared" si="1"/>
        <v>0</v>
      </c>
    </row>
    <row r="36" spans="1:12" ht="18" customHeight="1" x14ac:dyDescent="0.2">
      <c r="A36" s="584"/>
      <c r="B36" s="577"/>
      <c r="C36" s="960"/>
      <c r="D36" s="960"/>
      <c r="E36" s="960"/>
      <c r="F36" s="960"/>
      <c r="G36" s="960"/>
      <c r="H36" s="960"/>
      <c r="I36" s="961"/>
      <c r="J36" s="961"/>
      <c r="K36" s="675"/>
      <c r="L36" s="666">
        <f t="shared" si="1"/>
        <v>0</v>
      </c>
    </row>
    <row r="37" spans="1:12" ht="18" customHeight="1" x14ac:dyDescent="0.2">
      <c r="A37" s="584"/>
      <c r="B37" s="577"/>
      <c r="C37" s="960"/>
      <c r="D37" s="960"/>
      <c r="E37" s="960"/>
      <c r="F37" s="960"/>
      <c r="G37" s="960"/>
      <c r="H37" s="960"/>
      <c r="I37" s="961"/>
      <c r="J37" s="961"/>
      <c r="K37" s="675"/>
      <c r="L37" s="666">
        <f t="shared" si="1"/>
        <v>0</v>
      </c>
    </row>
    <row r="38" spans="1:12" ht="18" customHeight="1" x14ac:dyDescent="0.2">
      <c r="A38" s="584"/>
      <c r="B38" s="577"/>
      <c r="C38" s="960"/>
      <c r="D38" s="960"/>
      <c r="E38" s="960"/>
      <c r="F38" s="960"/>
      <c r="G38" s="960"/>
      <c r="H38" s="960"/>
      <c r="I38" s="961"/>
      <c r="J38" s="961"/>
      <c r="K38" s="675"/>
      <c r="L38" s="666">
        <f t="shared" si="1"/>
        <v>0</v>
      </c>
    </row>
    <row r="39" spans="1:12" ht="18" customHeight="1" x14ac:dyDescent="0.2">
      <c r="A39" s="584"/>
      <c r="B39" s="577"/>
      <c r="C39" s="960"/>
      <c r="D39" s="960"/>
      <c r="E39" s="960"/>
      <c r="F39" s="960"/>
      <c r="G39" s="960"/>
      <c r="H39" s="960"/>
      <c r="I39" s="961"/>
      <c r="J39" s="961"/>
      <c r="K39" s="675"/>
      <c r="L39" s="666">
        <f t="shared" si="1"/>
        <v>0</v>
      </c>
    </row>
    <row r="40" spans="1:12" ht="18" customHeight="1" x14ac:dyDescent="0.2">
      <c r="A40" s="584"/>
      <c r="B40" s="577"/>
      <c r="C40" s="960"/>
      <c r="D40" s="960"/>
      <c r="E40" s="960"/>
      <c r="F40" s="960"/>
      <c r="G40" s="960"/>
      <c r="H40" s="960"/>
      <c r="I40" s="961"/>
      <c r="J40" s="961"/>
      <c r="K40" s="675"/>
      <c r="L40" s="666">
        <f t="shared" si="1"/>
        <v>0</v>
      </c>
    </row>
    <row r="41" spans="1:12" ht="18" customHeight="1" x14ac:dyDescent="0.2">
      <c r="A41" s="584"/>
      <c r="B41" s="577"/>
      <c r="C41" s="960"/>
      <c r="D41" s="960"/>
      <c r="E41" s="960"/>
      <c r="F41" s="960"/>
      <c r="G41" s="960"/>
      <c r="H41" s="960"/>
      <c r="I41" s="961"/>
      <c r="J41" s="961"/>
      <c r="K41" s="675"/>
      <c r="L41" s="666">
        <f t="shared" si="1"/>
        <v>0</v>
      </c>
    </row>
    <row r="42" spans="1:12" ht="18" customHeight="1" x14ac:dyDescent="0.2">
      <c r="A42" s="584"/>
      <c r="B42" s="577"/>
      <c r="C42" s="960"/>
      <c r="D42" s="960"/>
      <c r="E42" s="960"/>
      <c r="F42" s="960"/>
      <c r="G42" s="960"/>
      <c r="H42" s="960"/>
      <c r="I42" s="961"/>
      <c r="J42" s="961"/>
      <c r="K42" s="675"/>
      <c r="L42" s="666">
        <f t="shared" si="1"/>
        <v>0</v>
      </c>
    </row>
    <row r="43" spans="1:12" ht="18" customHeight="1" x14ac:dyDescent="0.2">
      <c r="A43" s="584"/>
      <c r="B43" s="577"/>
      <c r="C43" s="960"/>
      <c r="D43" s="960"/>
      <c r="E43" s="960"/>
      <c r="F43" s="960"/>
      <c r="G43" s="960"/>
      <c r="H43" s="960"/>
      <c r="I43" s="961"/>
      <c r="J43" s="961"/>
      <c r="K43" s="675"/>
      <c r="L43" s="666">
        <f t="shared" si="1"/>
        <v>0</v>
      </c>
    </row>
    <row r="44" spans="1:12" ht="18" customHeight="1" x14ac:dyDescent="0.2">
      <c r="A44" s="584"/>
      <c r="B44" s="577"/>
      <c r="C44" s="960"/>
      <c r="D44" s="960"/>
      <c r="E44" s="960"/>
      <c r="F44" s="960"/>
      <c r="G44" s="960"/>
      <c r="H44" s="960"/>
      <c r="I44" s="961"/>
      <c r="J44" s="961"/>
      <c r="K44" s="675"/>
      <c r="L44" s="666">
        <f t="shared" si="1"/>
        <v>0</v>
      </c>
    </row>
    <row r="45" spans="1:12" ht="18" customHeight="1" thickBot="1" x14ac:dyDescent="0.25">
      <c r="A45" s="585"/>
      <c r="B45" s="578"/>
      <c r="C45" s="966"/>
      <c r="D45" s="966"/>
      <c r="E45" s="966"/>
      <c r="F45" s="966"/>
      <c r="G45" s="966"/>
      <c r="H45" s="966"/>
      <c r="I45" s="967"/>
      <c r="J45" s="968"/>
      <c r="K45" s="676"/>
      <c r="L45" s="677">
        <f t="shared" si="1"/>
        <v>0</v>
      </c>
    </row>
    <row r="46" spans="1:12" ht="20.100000000000001" customHeight="1" thickBot="1" x14ac:dyDescent="0.3">
      <c r="A46" s="540"/>
      <c r="B46" s="540"/>
      <c r="C46" s="540"/>
      <c r="D46" s="540"/>
      <c r="E46" s="540"/>
      <c r="F46" s="540"/>
      <c r="G46" s="540"/>
      <c r="H46" s="969" t="s">
        <v>545</v>
      </c>
      <c r="I46" s="970"/>
      <c r="J46" s="970"/>
      <c r="K46" s="971"/>
      <c r="L46" s="650">
        <f>SUM(L18:L45)</f>
        <v>0</v>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v>0</v>
      </c>
      <c r="D48" s="795"/>
      <c r="E48" s="538"/>
      <c r="F48" s="921" t="s">
        <v>121</v>
      </c>
      <c r="G48" s="795"/>
      <c r="H48" s="965">
        <f>Formalien!$E$13</f>
        <v>0</v>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v>0</v>
      </c>
      <c r="E2" s="958"/>
      <c r="F2" s="958"/>
      <c r="G2" s="958"/>
      <c r="H2" s="958"/>
      <c r="I2" s="958"/>
      <c r="K2" s="364" t="s">
        <v>519</v>
      </c>
      <c r="L2" s="619">
        <f>Formalien!$E$4</f>
        <v>0</v>
      </c>
    </row>
    <row r="3" spans="1:12" ht="14.45" customHeight="1" x14ac:dyDescent="0.25">
      <c r="A3" s="614" t="s">
        <v>65</v>
      </c>
      <c r="B3" s="615"/>
      <c r="C3" s="615"/>
      <c r="D3" s="371"/>
      <c r="E3" s="537">
        <f>Formalien!$E$16</f>
        <v>0</v>
      </c>
      <c r="F3" s="996"/>
      <c r="G3" s="872"/>
      <c r="H3" s="872"/>
      <c r="I3" s="872"/>
      <c r="J3" s="79"/>
      <c r="K3" s="338"/>
      <c r="L3" s="331"/>
    </row>
    <row r="4" spans="1:12" ht="14.45" customHeight="1" x14ac:dyDescent="0.25">
      <c r="A4" s="614" t="s">
        <v>0</v>
      </c>
      <c r="B4" s="615"/>
      <c r="C4" s="615"/>
      <c r="D4" s="371"/>
      <c r="E4" s="930">
        <f>Formalien!$E$6</f>
        <v>0</v>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v>0</v>
      </c>
    </row>
    <row r="10" spans="1:12" ht="18" customHeight="1" x14ac:dyDescent="0.2">
      <c r="A10" s="658"/>
      <c r="B10" s="659"/>
      <c r="C10" s="993"/>
      <c r="D10" s="993"/>
      <c r="E10" s="993"/>
      <c r="F10" s="993"/>
      <c r="G10" s="993"/>
      <c r="H10" s="993"/>
      <c r="I10" s="993"/>
      <c r="J10" s="993"/>
      <c r="K10" s="678"/>
      <c r="L10" s="679">
        <f t="shared" ref="L10:L45" si="0">ROUND(A10*K10,2)</f>
        <v>0</v>
      </c>
    </row>
    <row r="11" spans="1:12" ht="18" customHeight="1" x14ac:dyDescent="0.2">
      <c r="A11" s="584"/>
      <c r="B11" s="577"/>
      <c r="C11" s="992"/>
      <c r="D11" s="992"/>
      <c r="E11" s="992"/>
      <c r="F11" s="992"/>
      <c r="G11" s="992"/>
      <c r="H11" s="992"/>
      <c r="I11" s="992"/>
      <c r="J11" s="992"/>
      <c r="K11" s="680"/>
      <c r="L11" s="681">
        <f t="shared" si="0"/>
        <v>0</v>
      </c>
    </row>
    <row r="12" spans="1:12" ht="18" customHeight="1" x14ac:dyDescent="0.2">
      <c r="A12" s="584"/>
      <c r="B12" s="577"/>
      <c r="C12" s="992"/>
      <c r="D12" s="992"/>
      <c r="E12" s="992"/>
      <c r="F12" s="992"/>
      <c r="G12" s="992"/>
      <c r="H12" s="992"/>
      <c r="I12" s="992"/>
      <c r="J12" s="992"/>
      <c r="K12" s="680"/>
      <c r="L12" s="681">
        <f t="shared" si="0"/>
        <v>0</v>
      </c>
    </row>
    <row r="13" spans="1:12" ht="18" customHeight="1" x14ac:dyDescent="0.2">
      <c r="A13" s="584"/>
      <c r="B13" s="577"/>
      <c r="C13" s="992"/>
      <c r="D13" s="992"/>
      <c r="E13" s="992"/>
      <c r="F13" s="992"/>
      <c r="G13" s="992"/>
      <c r="H13" s="992"/>
      <c r="I13" s="992"/>
      <c r="J13" s="992"/>
      <c r="K13" s="680"/>
      <c r="L13" s="681">
        <f t="shared" si="0"/>
        <v>0</v>
      </c>
    </row>
    <row r="14" spans="1:12" ht="18" customHeight="1" x14ac:dyDescent="0.2">
      <c r="A14" s="584"/>
      <c r="B14" s="577"/>
      <c r="C14" s="992"/>
      <c r="D14" s="992"/>
      <c r="E14" s="992"/>
      <c r="F14" s="992"/>
      <c r="G14" s="992"/>
      <c r="H14" s="992"/>
      <c r="I14" s="992"/>
      <c r="J14" s="992"/>
      <c r="K14" s="680"/>
      <c r="L14" s="681">
        <f t="shared" si="0"/>
        <v>0</v>
      </c>
    </row>
    <row r="15" spans="1:12" ht="18" customHeight="1" x14ac:dyDescent="0.2">
      <c r="A15" s="584"/>
      <c r="B15" s="577"/>
      <c r="C15" s="992"/>
      <c r="D15" s="992"/>
      <c r="E15" s="992"/>
      <c r="F15" s="992"/>
      <c r="G15" s="992"/>
      <c r="H15" s="992"/>
      <c r="I15" s="992"/>
      <c r="J15" s="992"/>
      <c r="K15" s="680"/>
      <c r="L15" s="681">
        <f t="shared" si="0"/>
        <v>0</v>
      </c>
    </row>
    <row r="16" spans="1:12" ht="18" customHeight="1" x14ac:dyDescent="0.2">
      <c r="A16" s="584"/>
      <c r="B16" s="577"/>
      <c r="C16" s="992"/>
      <c r="D16" s="992"/>
      <c r="E16" s="992"/>
      <c r="F16" s="992"/>
      <c r="G16" s="992"/>
      <c r="H16" s="992"/>
      <c r="I16" s="992"/>
      <c r="J16" s="992"/>
      <c r="K16" s="680"/>
      <c r="L16" s="681">
        <f t="shared" si="0"/>
        <v>0</v>
      </c>
    </row>
    <row r="17" spans="1:12" ht="18" customHeight="1" x14ac:dyDescent="0.2">
      <c r="A17" s="584"/>
      <c r="B17" s="577"/>
      <c r="C17" s="992"/>
      <c r="D17" s="992"/>
      <c r="E17" s="992"/>
      <c r="F17" s="992"/>
      <c r="G17" s="992"/>
      <c r="H17" s="992"/>
      <c r="I17" s="992"/>
      <c r="J17" s="992"/>
      <c r="K17" s="680"/>
      <c r="L17" s="681">
        <f t="shared" si="0"/>
        <v>0</v>
      </c>
    </row>
    <row r="18" spans="1:12" ht="18" customHeight="1" x14ac:dyDescent="0.2">
      <c r="A18" s="584"/>
      <c r="B18" s="577"/>
      <c r="C18" s="992"/>
      <c r="D18" s="992"/>
      <c r="E18" s="992"/>
      <c r="F18" s="992"/>
      <c r="G18" s="992"/>
      <c r="H18" s="992"/>
      <c r="I18" s="992"/>
      <c r="J18" s="992"/>
      <c r="K18" s="680"/>
      <c r="L18" s="681">
        <f t="shared" si="0"/>
        <v>0</v>
      </c>
    </row>
    <row r="19" spans="1:12" ht="18" customHeight="1" x14ac:dyDescent="0.2">
      <c r="A19" s="584"/>
      <c r="B19" s="577"/>
      <c r="C19" s="992"/>
      <c r="D19" s="992"/>
      <c r="E19" s="992"/>
      <c r="F19" s="992"/>
      <c r="G19" s="992"/>
      <c r="H19" s="992"/>
      <c r="I19" s="992"/>
      <c r="J19" s="992"/>
      <c r="K19" s="680"/>
      <c r="L19" s="681">
        <f t="shared" si="0"/>
        <v>0</v>
      </c>
    </row>
    <row r="20" spans="1:12" ht="18" customHeight="1" x14ac:dyDescent="0.2">
      <c r="A20" s="584"/>
      <c r="B20" s="577"/>
      <c r="C20" s="992"/>
      <c r="D20" s="992"/>
      <c r="E20" s="992"/>
      <c r="F20" s="992"/>
      <c r="G20" s="992"/>
      <c r="H20" s="992"/>
      <c r="I20" s="992"/>
      <c r="J20" s="992"/>
      <c r="K20" s="680"/>
      <c r="L20" s="681">
        <f t="shared" si="0"/>
        <v>0</v>
      </c>
    </row>
    <row r="21" spans="1:12" ht="18" customHeight="1" x14ac:dyDescent="0.2">
      <c r="A21" s="584"/>
      <c r="B21" s="577"/>
      <c r="C21" s="992"/>
      <c r="D21" s="992"/>
      <c r="E21" s="992"/>
      <c r="F21" s="992"/>
      <c r="G21" s="992"/>
      <c r="H21" s="992"/>
      <c r="I21" s="992"/>
      <c r="J21" s="992"/>
      <c r="K21" s="680"/>
      <c r="L21" s="681">
        <f t="shared" si="0"/>
        <v>0</v>
      </c>
    </row>
    <row r="22" spans="1:12" ht="18" customHeight="1" x14ac:dyDescent="0.2">
      <c r="A22" s="584"/>
      <c r="B22" s="577"/>
      <c r="C22" s="992"/>
      <c r="D22" s="992"/>
      <c r="E22" s="992"/>
      <c r="F22" s="992"/>
      <c r="G22" s="992"/>
      <c r="H22" s="992"/>
      <c r="I22" s="992"/>
      <c r="J22" s="992"/>
      <c r="K22" s="680"/>
      <c r="L22" s="681">
        <f t="shared" si="0"/>
        <v>0</v>
      </c>
    </row>
    <row r="23" spans="1:12" ht="18" customHeight="1" x14ac:dyDescent="0.2">
      <c r="A23" s="584"/>
      <c r="B23" s="577"/>
      <c r="C23" s="992"/>
      <c r="D23" s="992"/>
      <c r="E23" s="992"/>
      <c r="F23" s="992"/>
      <c r="G23" s="992"/>
      <c r="H23" s="992"/>
      <c r="I23" s="992"/>
      <c r="J23" s="992"/>
      <c r="K23" s="680"/>
      <c r="L23" s="681">
        <f t="shared" si="0"/>
        <v>0</v>
      </c>
    </row>
    <row r="24" spans="1:12" ht="18" customHeight="1" x14ac:dyDescent="0.2">
      <c r="A24" s="584"/>
      <c r="B24" s="577"/>
      <c r="C24" s="992"/>
      <c r="D24" s="992"/>
      <c r="E24" s="992"/>
      <c r="F24" s="992"/>
      <c r="G24" s="992"/>
      <c r="H24" s="992"/>
      <c r="I24" s="992"/>
      <c r="J24" s="992"/>
      <c r="K24" s="680"/>
      <c r="L24" s="681">
        <f t="shared" si="0"/>
        <v>0</v>
      </c>
    </row>
    <row r="25" spans="1:12" ht="18" customHeight="1" x14ac:dyDescent="0.2">
      <c r="A25" s="584"/>
      <c r="B25" s="577"/>
      <c r="C25" s="992"/>
      <c r="D25" s="992"/>
      <c r="E25" s="992"/>
      <c r="F25" s="992"/>
      <c r="G25" s="992"/>
      <c r="H25" s="992"/>
      <c r="I25" s="992"/>
      <c r="J25" s="992"/>
      <c r="K25" s="680"/>
      <c r="L25" s="681">
        <f t="shared" si="0"/>
        <v>0</v>
      </c>
    </row>
    <row r="26" spans="1:12" ht="18" customHeight="1" x14ac:dyDescent="0.2">
      <c r="A26" s="584"/>
      <c r="B26" s="577"/>
      <c r="C26" s="992"/>
      <c r="D26" s="992"/>
      <c r="E26" s="992"/>
      <c r="F26" s="992"/>
      <c r="G26" s="992"/>
      <c r="H26" s="992"/>
      <c r="I26" s="992"/>
      <c r="J26" s="992"/>
      <c r="K26" s="680"/>
      <c r="L26" s="681">
        <f t="shared" si="0"/>
        <v>0</v>
      </c>
    </row>
    <row r="27" spans="1:12" ht="18" customHeight="1" x14ac:dyDescent="0.2">
      <c r="A27" s="584"/>
      <c r="B27" s="577"/>
      <c r="C27" s="992"/>
      <c r="D27" s="992"/>
      <c r="E27" s="992"/>
      <c r="F27" s="992"/>
      <c r="G27" s="992"/>
      <c r="H27" s="992"/>
      <c r="I27" s="992"/>
      <c r="J27" s="992"/>
      <c r="K27" s="680"/>
      <c r="L27" s="681">
        <f t="shared" si="0"/>
        <v>0</v>
      </c>
    </row>
    <row r="28" spans="1:12" ht="18" customHeight="1" x14ac:dyDescent="0.2">
      <c r="A28" s="584"/>
      <c r="B28" s="577"/>
      <c r="C28" s="992"/>
      <c r="D28" s="992"/>
      <c r="E28" s="992"/>
      <c r="F28" s="992"/>
      <c r="G28" s="992"/>
      <c r="H28" s="992"/>
      <c r="I28" s="992"/>
      <c r="J28" s="992"/>
      <c r="K28" s="680"/>
      <c r="L28" s="681">
        <f t="shared" si="0"/>
        <v>0</v>
      </c>
    </row>
    <row r="29" spans="1:12" ht="18" customHeight="1" x14ac:dyDescent="0.2">
      <c r="A29" s="584"/>
      <c r="B29" s="577"/>
      <c r="C29" s="992"/>
      <c r="D29" s="992"/>
      <c r="E29" s="992"/>
      <c r="F29" s="992"/>
      <c r="G29" s="992"/>
      <c r="H29" s="992"/>
      <c r="I29" s="992"/>
      <c r="J29" s="992"/>
      <c r="K29" s="680"/>
      <c r="L29" s="681">
        <f t="shared" si="0"/>
        <v>0</v>
      </c>
    </row>
    <row r="30" spans="1:12" ht="18" customHeight="1" x14ac:dyDescent="0.2">
      <c r="A30" s="584"/>
      <c r="B30" s="577"/>
      <c r="C30" s="992"/>
      <c r="D30" s="992"/>
      <c r="E30" s="992"/>
      <c r="F30" s="992"/>
      <c r="G30" s="992"/>
      <c r="H30" s="992"/>
      <c r="I30" s="992"/>
      <c r="J30" s="992"/>
      <c r="K30" s="680"/>
      <c r="L30" s="681">
        <f t="shared" si="0"/>
        <v>0</v>
      </c>
    </row>
    <row r="31" spans="1:12" ht="18" customHeight="1" x14ac:dyDescent="0.2">
      <c r="A31" s="584"/>
      <c r="B31" s="577"/>
      <c r="C31" s="992"/>
      <c r="D31" s="992"/>
      <c r="E31" s="992"/>
      <c r="F31" s="992"/>
      <c r="G31" s="992"/>
      <c r="H31" s="992"/>
      <c r="I31" s="992"/>
      <c r="J31" s="992"/>
      <c r="K31" s="680"/>
      <c r="L31" s="681">
        <f t="shared" si="0"/>
        <v>0</v>
      </c>
    </row>
    <row r="32" spans="1:12" ht="18" customHeight="1" x14ac:dyDescent="0.2">
      <c r="A32" s="584"/>
      <c r="B32" s="577"/>
      <c r="C32" s="992"/>
      <c r="D32" s="992"/>
      <c r="E32" s="992"/>
      <c r="F32" s="992"/>
      <c r="G32" s="992"/>
      <c r="H32" s="992"/>
      <c r="I32" s="992"/>
      <c r="J32" s="992"/>
      <c r="K32" s="680"/>
      <c r="L32" s="681">
        <f t="shared" si="0"/>
        <v>0</v>
      </c>
    </row>
    <row r="33" spans="1:12" ht="18" customHeight="1" x14ac:dyDescent="0.2">
      <c r="A33" s="584"/>
      <c r="B33" s="577"/>
      <c r="C33" s="992"/>
      <c r="D33" s="992"/>
      <c r="E33" s="992"/>
      <c r="F33" s="992"/>
      <c r="G33" s="992"/>
      <c r="H33" s="992"/>
      <c r="I33" s="992"/>
      <c r="J33" s="992"/>
      <c r="K33" s="680"/>
      <c r="L33" s="681">
        <f t="shared" si="0"/>
        <v>0</v>
      </c>
    </row>
    <row r="34" spans="1:12" ht="18" customHeight="1" x14ac:dyDescent="0.2">
      <c r="A34" s="584"/>
      <c r="B34" s="577"/>
      <c r="C34" s="992"/>
      <c r="D34" s="992"/>
      <c r="E34" s="992"/>
      <c r="F34" s="992"/>
      <c r="G34" s="992"/>
      <c r="H34" s="992"/>
      <c r="I34" s="992"/>
      <c r="J34" s="992"/>
      <c r="K34" s="680"/>
      <c r="L34" s="681">
        <f t="shared" si="0"/>
        <v>0</v>
      </c>
    </row>
    <row r="35" spans="1:12" ht="18" customHeight="1" x14ac:dyDescent="0.2">
      <c r="A35" s="584"/>
      <c r="B35" s="577"/>
      <c r="C35" s="992"/>
      <c r="D35" s="992"/>
      <c r="E35" s="992"/>
      <c r="F35" s="992"/>
      <c r="G35" s="992"/>
      <c r="H35" s="992"/>
      <c r="I35" s="992"/>
      <c r="J35" s="992"/>
      <c r="K35" s="680"/>
      <c r="L35" s="681">
        <f t="shared" si="0"/>
        <v>0</v>
      </c>
    </row>
    <row r="36" spans="1:12" ht="18" customHeight="1" x14ac:dyDescent="0.2">
      <c r="A36" s="584"/>
      <c r="B36" s="577"/>
      <c r="C36" s="992"/>
      <c r="D36" s="992"/>
      <c r="E36" s="992"/>
      <c r="F36" s="992"/>
      <c r="G36" s="992"/>
      <c r="H36" s="992"/>
      <c r="I36" s="992"/>
      <c r="J36" s="992"/>
      <c r="K36" s="680"/>
      <c r="L36" s="681">
        <f t="shared" si="0"/>
        <v>0</v>
      </c>
    </row>
    <row r="37" spans="1:12" ht="18" customHeight="1" x14ac:dyDescent="0.2">
      <c r="A37" s="584"/>
      <c r="B37" s="577"/>
      <c r="C37" s="992"/>
      <c r="D37" s="992"/>
      <c r="E37" s="992"/>
      <c r="F37" s="992"/>
      <c r="G37" s="992"/>
      <c r="H37" s="992"/>
      <c r="I37" s="992"/>
      <c r="J37" s="992"/>
      <c r="K37" s="680"/>
      <c r="L37" s="681">
        <f t="shared" si="0"/>
        <v>0</v>
      </c>
    </row>
    <row r="38" spans="1:12" ht="18" customHeight="1" x14ac:dyDescent="0.2">
      <c r="A38" s="584"/>
      <c r="B38" s="577"/>
      <c r="C38" s="992"/>
      <c r="D38" s="992"/>
      <c r="E38" s="992"/>
      <c r="F38" s="992"/>
      <c r="G38" s="992"/>
      <c r="H38" s="992"/>
      <c r="I38" s="992"/>
      <c r="J38" s="992"/>
      <c r="K38" s="680"/>
      <c r="L38" s="681">
        <f t="shared" si="0"/>
        <v>0</v>
      </c>
    </row>
    <row r="39" spans="1:12" ht="18" customHeight="1" x14ac:dyDescent="0.2">
      <c r="A39" s="584"/>
      <c r="B39" s="577"/>
      <c r="C39" s="992"/>
      <c r="D39" s="992"/>
      <c r="E39" s="992"/>
      <c r="F39" s="992"/>
      <c r="G39" s="992"/>
      <c r="H39" s="992"/>
      <c r="I39" s="992"/>
      <c r="J39" s="992"/>
      <c r="K39" s="680"/>
      <c r="L39" s="681">
        <f t="shared" si="0"/>
        <v>0</v>
      </c>
    </row>
    <row r="40" spans="1:12" ht="18" customHeight="1" x14ac:dyDescent="0.2">
      <c r="A40" s="584"/>
      <c r="B40" s="577"/>
      <c r="C40" s="992"/>
      <c r="D40" s="992"/>
      <c r="E40" s="992"/>
      <c r="F40" s="992"/>
      <c r="G40" s="992"/>
      <c r="H40" s="992"/>
      <c r="I40" s="992"/>
      <c r="J40" s="992"/>
      <c r="K40" s="680"/>
      <c r="L40" s="681">
        <f t="shared" si="0"/>
        <v>0</v>
      </c>
    </row>
    <row r="41" spans="1:12" ht="18" customHeight="1" x14ac:dyDescent="0.2">
      <c r="A41" s="584"/>
      <c r="B41" s="577"/>
      <c r="C41" s="992"/>
      <c r="D41" s="992"/>
      <c r="E41" s="992"/>
      <c r="F41" s="992"/>
      <c r="G41" s="992"/>
      <c r="H41" s="992"/>
      <c r="I41" s="992"/>
      <c r="J41" s="992"/>
      <c r="K41" s="680"/>
      <c r="L41" s="681">
        <f t="shared" si="0"/>
        <v>0</v>
      </c>
    </row>
    <row r="42" spans="1:12" ht="18" customHeight="1" x14ac:dyDescent="0.2">
      <c r="A42" s="584"/>
      <c r="B42" s="577"/>
      <c r="C42" s="992"/>
      <c r="D42" s="992"/>
      <c r="E42" s="992"/>
      <c r="F42" s="992"/>
      <c r="G42" s="992"/>
      <c r="H42" s="992"/>
      <c r="I42" s="992"/>
      <c r="J42" s="992"/>
      <c r="K42" s="680"/>
      <c r="L42" s="681">
        <f t="shared" si="0"/>
        <v>0</v>
      </c>
    </row>
    <row r="43" spans="1:12" ht="18" customHeight="1" x14ac:dyDescent="0.2">
      <c r="A43" s="584"/>
      <c r="B43" s="577"/>
      <c r="C43" s="992"/>
      <c r="D43" s="992"/>
      <c r="E43" s="992"/>
      <c r="F43" s="992"/>
      <c r="G43" s="992"/>
      <c r="H43" s="992"/>
      <c r="I43" s="992"/>
      <c r="J43" s="992"/>
      <c r="K43" s="680"/>
      <c r="L43" s="681">
        <f t="shared" si="0"/>
        <v>0</v>
      </c>
    </row>
    <row r="44" spans="1:12" ht="18" customHeight="1" x14ac:dyDescent="0.2">
      <c r="A44" s="584"/>
      <c r="B44" s="577"/>
      <c r="C44" s="992"/>
      <c r="D44" s="992"/>
      <c r="E44" s="992"/>
      <c r="F44" s="992"/>
      <c r="G44" s="992"/>
      <c r="H44" s="992"/>
      <c r="I44" s="992"/>
      <c r="J44" s="992"/>
      <c r="K44" s="680"/>
      <c r="L44" s="681">
        <f t="shared" si="0"/>
        <v>0</v>
      </c>
    </row>
    <row r="45" spans="1:12" ht="18" customHeight="1" thickBot="1" x14ac:dyDescent="0.25">
      <c r="A45" s="585"/>
      <c r="B45" s="578"/>
      <c r="C45" s="1003"/>
      <c r="D45" s="1003"/>
      <c r="E45" s="1003"/>
      <c r="F45" s="1003"/>
      <c r="G45" s="1003"/>
      <c r="H45" s="1003"/>
      <c r="I45" s="1003"/>
      <c r="J45" s="1003"/>
      <c r="K45" s="682"/>
      <c r="L45" s="683">
        <f t="shared" si="0"/>
        <v>0</v>
      </c>
    </row>
    <row r="46" spans="1:12" ht="16.149999999999999" customHeight="1" thickBot="1" x14ac:dyDescent="0.25">
      <c r="A46" s="330"/>
      <c r="B46" s="330"/>
      <c r="C46" s="330"/>
      <c r="D46" s="330"/>
      <c r="E46" s="330"/>
      <c r="F46" s="330"/>
      <c r="G46" s="330"/>
      <c r="H46" s="330"/>
      <c r="I46" s="1004" t="s">
        <v>546</v>
      </c>
      <c r="J46" s="1004"/>
      <c r="K46" s="1005"/>
      <c r="L46" s="657">
        <f>SUM(L9:L45)</f>
        <v>0</v>
      </c>
    </row>
    <row r="47" spans="1:12" ht="16.899999999999999" customHeight="1" x14ac:dyDescent="0.2"/>
    <row r="48" spans="1:12" ht="16.899999999999999" customHeight="1" x14ac:dyDescent="0.25">
      <c r="A48" s="952" t="s">
        <v>34</v>
      </c>
      <c r="B48" s="952"/>
      <c r="C48" s="921">
        <f>Formalien!$E$15</f>
        <v>0</v>
      </c>
      <c r="D48" s="795"/>
      <c r="E48" s="921" t="s">
        <v>121</v>
      </c>
      <c r="F48" s="795"/>
      <c r="G48" s="773">
        <f>Formalien!$E$13</f>
        <v>0</v>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v>0</v>
      </c>
      <c r="D6" s="1131"/>
      <c r="E6" s="1131"/>
      <c r="F6" s="1131"/>
      <c r="G6" s="1131"/>
      <c r="H6" s="42"/>
    </row>
    <row r="7" spans="1:9" ht="15" x14ac:dyDescent="0.2">
      <c r="A7" s="1014" t="s">
        <v>1</v>
      </c>
      <c r="B7" s="1014"/>
      <c r="C7" s="1132">
        <f>Formalien!$E$3</f>
        <v>0</v>
      </c>
      <c r="D7" s="1132"/>
      <c r="E7" s="1132"/>
      <c r="F7" s="1132"/>
      <c r="G7" s="1132"/>
      <c r="H7" s="42"/>
    </row>
    <row r="8" spans="1:9" ht="15" x14ac:dyDescent="0.2">
      <c r="B8" s="3"/>
      <c r="C8" s="1133">
        <f>Formalien!$E$5</f>
        <v>0</v>
      </c>
      <c r="D8" s="1133"/>
      <c r="E8" s="1133"/>
      <c r="F8" s="3" t="s">
        <v>116</v>
      </c>
      <c r="G8" s="43">
        <f>Formalien!$E$4</f>
        <v>0</v>
      </c>
      <c r="H8" s="42"/>
    </row>
    <row r="9" spans="1:9" ht="15" x14ac:dyDescent="0.2">
      <c r="A9" s="1014" t="s">
        <v>145</v>
      </c>
      <c r="B9" s="1014"/>
      <c r="C9" s="1134">
        <f>Formalien!$E$14</f>
        <v>0</v>
      </c>
      <c r="D9" s="1134"/>
      <c r="E9" s="1134"/>
      <c r="F9" s="1134"/>
      <c r="G9" s="1134"/>
      <c r="H9" s="42"/>
    </row>
    <row r="10" spans="1:9" ht="15" customHeight="1" x14ac:dyDescent="0.2">
      <c r="A10" s="1" t="s">
        <v>117</v>
      </c>
      <c r="B10" s="1014" t="s">
        <v>121</v>
      </c>
      <c r="C10" s="1014"/>
      <c r="D10" s="1127">
        <f>Formalien!$E$12</f>
        <v>0</v>
      </c>
      <c r="E10" s="1127"/>
      <c r="F10" s="1127"/>
      <c r="G10" s="1127"/>
      <c r="H10" s="42"/>
    </row>
    <row r="11" spans="1:9" ht="15" customHeight="1" x14ac:dyDescent="0.2">
      <c r="A11" s="1014" t="s">
        <v>121</v>
      </c>
      <c r="B11" s="1014"/>
      <c r="C11" s="1014"/>
      <c r="D11" s="1128">
        <f>Formalien!$E$13</f>
        <v>0</v>
      </c>
      <c r="E11" s="1128"/>
      <c r="F11" s="1128"/>
      <c r="G11" s="1128"/>
      <c r="H11" s="42"/>
    </row>
    <row r="12" spans="1:9" ht="15" customHeight="1" x14ac:dyDescent="0.2">
      <c r="A12" s="1014" t="s">
        <v>118</v>
      </c>
      <c r="B12" s="1014"/>
      <c r="C12" s="1014"/>
      <c r="D12" s="1127">
        <f>Formalien!$E$10</f>
        <v>0</v>
      </c>
      <c r="E12" s="1127"/>
      <c r="F12" s="1127"/>
      <c r="G12" s="1127"/>
      <c r="H12" s="42"/>
    </row>
    <row r="13" spans="1:9" ht="15" customHeight="1" x14ac:dyDescent="0.2">
      <c r="A13" s="1014" t="s">
        <v>139</v>
      </c>
      <c r="B13" s="1014"/>
      <c r="C13" s="1014"/>
      <c r="D13" s="1127">
        <f>Formalien!$E$9</f>
        <v>0</v>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v>0</v>
      </c>
      <c r="B16" s="1014"/>
      <c r="C16" s="1014"/>
      <c r="D16" s="44">
        <f>Baulichkeiten!$K$81</f>
        <v>0</v>
      </c>
      <c r="E16" s="12" t="str">
        <f>'Deckbl UPV '!F21</f>
        <v>(einschließlich Abwasseranlage)</v>
      </c>
      <c r="F16" s="45"/>
      <c r="G16" s="14"/>
      <c r="H16" s="42"/>
    </row>
    <row r="17" spans="1:8" x14ac:dyDescent="0.2">
      <c r="A17" s="1014">
        <f>'Deckbl UPV '!A22</f>
        <v>0</v>
      </c>
      <c r="B17" s="1014"/>
      <c r="C17" s="1014"/>
      <c r="D17" s="55">
        <f>'Deckbl UPV '!E22</f>
        <v>0</v>
      </c>
      <c r="E17" s="14"/>
      <c r="G17" s="14"/>
      <c r="H17" s="42"/>
    </row>
    <row r="18" spans="1:8" x14ac:dyDescent="0.2">
      <c r="A18" s="1014" t="e">
        <f>'Deckbl UPV '!#REF!</f>
        <v>#REF!</v>
      </c>
      <c r="B18" s="1014"/>
      <c r="C18" s="1014"/>
      <c r="D18" s="44">
        <f>'Deckbl UPV '!E23</f>
        <v>0</v>
      </c>
      <c r="E18" s="14"/>
      <c r="F18" s="45"/>
      <c r="G18" s="14"/>
      <c r="H18" s="42"/>
    </row>
    <row r="19" spans="1:8" x14ac:dyDescent="0.2">
      <c r="A19" s="1014">
        <f>'Deckbl UPV '!K24</f>
        <v>0</v>
      </c>
      <c r="B19" s="1014"/>
      <c r="C19" s="1014"/>
      <c r="D19" s="46">
        <f>'Deckbl UPV '!E24</f>
        <v>0</v>
      </c>
      <c r="E19" s="14"/>
      <c r="F19" s="45"/>
      <c r="G19" s="14"/>
      <c r="H19" s="42"/>
    </row>
    <row r="20" spans="1:8" x14ac:dyDescent="0.2">
      <c r="A20" s="1014">
        <f>'Deckbl UPV '!K26</f>
        <v>0</v>
      </c>
      <c r="B20" s="1014"/>
      <c r="C20" s="1014"/>
      <c r="D20" s="47"/>
      <c r="E20" s="14"/>
      <c r="F20" s="14"/>
      <c r="G20" s="14"/>
      <c r="H20" s="42"/>
    </row>
    <row r="21" spans="1:8" x14ac:dyDescent="0.2">
      <c r="A21" s="1014">
        <f>'Deckbl UPV '!C27</f>
        <v>0</v>
      </c>
      <c r="B21" s="1014"/>
      <c r="C21" s="1014"/>
      <c r="D21" s="190">
        <f>'Deckbl UPV '!E27</f>
        <v>0</v>
      </c>
      <c r="E21" s="14"/>
      <c r="F21" s="14"/>
      <c r="G21" s="14"/>
      <c r="H21" s="42"/>
    </row>
    <row r="22" spans="1:8" ht="13.5" thickBot="1" x14ac:dyDescent="0.25">
      <c r="A22" s="1014">
        <f>'Deckbl UPV '!C28</f>
        <v>0</v>
      </c>
      <c r="B22" s="1014"/>
      <c r="C22" s="1014"/>
      <c r="D22" s="48">
        <f>'Deckbl UPV '!E26</f>
        <v>150</v>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v>#REF!</v>
      </c>
      <c r="B24" s="1101"/>
      <c r="C24" s="1101"/>
      <c r="D24" s="49">
        <f>'Deckbl UPV '!E28</f>
        <v>-400</v>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v>0</v>
      </c>
      <c r="D6" s="1135"/>
      <c r="E6" s="1135"/>
      <c r="F6" s="1135"/>
      <c r="G6" s="1135"/>
    </row>
    <row r="7" spans="1:7" ht="15" x14ac:dyDescent="0.2">
      <c r="A7" s="1014" t="s">
        <v>1</v>
      </c>
      <c r="B7" s="1014"/>
      <c r="C7" s="1136">
        <f>Formalien!$E$3</f>
        <v>0</v>
      </c>
      <c r="D7" s="1136"/>
      <c r="E7" s="1136"/>
      <c r="F7" s="1136"/>
      <c r="G7" s="1136"/>
    </row>
    <row r="8" spans="1:7" ht="15" x14ac:dyDescent="0.2">
      <c r="B8" s="3"/>
      <c r="C8" s="1133">
        <f>Formalien!$E$5</f>
        <v>0</v>
      </c>
      <c r="D8" s="1133"/>
      <c r="E8" s="1133"/>
      <c r="F8" s="3" t="s">
        <v>116</v>
      </c>
      <c r="G8" s="43">
        <f>Formalien!$E$4</f>
        <v>0</v>
      </c>
    </row>
    <row r="9" spans="1:7" ht="15" x14ac:dyDescent="0.2">
      <c r="A9" s="1014" t="s">
        <v>145</v>
      </c>
      <c r="B9" s="1014"/>
      <c r="C9" s="1134">
        <f>Formalien!$E$14</f>
        <v>0</v>
      </c>
      <c r="D9" s="1134"/>
      <c r="E9" s="1134"/>
      <c r="F9" s="1134"/>
      <c r="G9" s="1134"/>
    </row>
    <row r="10" spans="1:7" ht="15" customHeight="1" x14ac:dyDescent="0.2">
      <c r="A10" s="1" t="s">
        <v>117</v>
      </c>
      <c r="B10" s="1014" t="s">
        <v>121</v>
      </c>
      <c r="C10" s="1014"/>
      <c r="D10" s="1127">
        <f>Formalien!$E$12</f>
        <v>0</v>
      </c>
      <c r="E10" s="1127"/>
      <c r="F10" s="1127"/>
      <c r="G10" s="1127"/>
    </row>
    <row r="11" spans="1:7" ht="15" customHeight="1" x14ac:dyDescent="0.2">
      <c r="A11" s="1014" t="s">
        <v>121</v>
      </c>
      <c r="B11" s="1014"/>
      <c r="C11" s="1014"/>
      <c r="D11" s="1128">
        <f>Formalien!$E$13</f>
        <v>0</v>
      </c>
      <c r="E11" s="1128"/>
      <c r="F11" s="1128"/>
      <c r="G11" s="1128"/>
    </row>
    <row r="12" spans="1:7" ht="15" customHeight="1" x14ac:dyDescent="0.2">
      <c r="A12" s="1014" t="s">
        <v>118</v>
      </c>
      <c r="B12" s="1014"/>
      <c r="C12" s="1014"/>
      <c r="D12" s="1127">
        <f>Formalien!$E$10</f>
        <v>0</v>
      </c>
      <c r="E12" s="1127"/>
      <c r="F12" s="1127"/>
      <c r="G12" s="1127"/>
    </row>
    <row r="13" spans="1:7" ht="15" customHeight="1" x14ac:dyDescent="0.2">
      <c r="A13" s="1014" t="s">
        <v>139</v>
      </c>
      <c r="B13" s="1014"/>
      <c r="C13" s="1014"/>
      <c r="D13" s="1127">
        <f>Formalien!$E$9</f>
        <v>0</v>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v>0</v>
      </c>
      <c r="B16" s="1014"/>
      <c r="C16" s="1014"/>
      <c r="D16" s="44">
        <f>'Deckbl UPV '!E21</f>
        <v>0</v>
      </c>
      <c r="E16" s="12" t="str">
        <f>'Deckbl UPV '!F21</f>
        <v>(einschließlich Abwasseranlage)</v>
      </c>
      <c r="F16" s="45"/>
      <c r="G16" s="14"/>
    </row>
    <row r="17" spans="1:7" x14ac:dyDescent="0.2">
      <c r="A17" s="1014">
        <f>'Deckbl UPV '!A22</f>
        <v>0</v>
      </c>
      <c r="B17" s="1014"/>
      <c r="C17" s="1014"/>
      <c r="D17" s="55">
        <f>'Deckbl UPV '!E22</f>
        <v>0</v>
      </c>
      <c r="E17" s="14"/>
      <c r="G17" s="14"/>
    </row>
    <row r="18" spans="1:7" x14ac:dyDescent="0.2">
      <c r="A18" s="1014" t="s">
        <v>340</v>
      </c>
      <c r="B18" s="1014"/>
      <c r="C18" s="1014"/>
      <c r="D18" s="44">
        <f>'Deckbl UPV '!E23</f>
        <v>0</v>
      </c>
      <c r="E18" s="14"/>
      <c r="F18" s="45"/>
      <c r="G18" s="14"/>
    </row>
    <row r="19" spans="1:7" x14ac:dyDescent="0.2">
      <c r="C19" s="3">
        <f>'Deckbl UPV '!K24</f>
        <v>0</v>
      </c>
      <c r="D19" s="46">
        <f>'Deckbl UPV '!E24</f>
        <v>0</v>
      </c>
      <c r="E19" s="14"/>
      <c r="F19" s="45"/>
      <c r="G19" s="14"/>
    </row>
    <row r="20" spans="1:7" x14ac:dyDescent="0.2">
      <c r="C20" s="3">
        <f>'Deckbl UPV '!K26</f>
        <v>0</v>
      </c>
      <c r="D20" s="47"/>
      <c r="E20" s="14"/>
      <c r="F20" s="14"/>
      <c r="G20" s="14"/>
    </row>
    <row r="21" spans="1:7" x14ac:dyDescent="0.2">
      <c r="C21" s="3">
        <f>'Deckbl UPV '!C27</f>
        <v>0</v>
      </c>
      <c r="D21" s="47"/>
      <c r="E21" s="14"/>
      <c r="F21" s="14"/>
      <c r="G21" s="14"/>
    </row>
    <row r="22" spans="1:7" ht="13.5" thickBot="1" x14ac:dyDescent="0.25">
      <c r="C22" s="3">
        <f>'Deckbl UPV '!C28</f>
        <v>0</v>
      </c>
      <c r="D22" s="48">
        <f>'Deckbl UPV '!E26</f>
        <v>150</v>
      </c>
      <c r="E22" s="14"/>
      <c r="F22" s="45"/>
      <c r="G22" s="14"/>
    </row>
    <row r="23" spans="1:7" ht="13.5" thickTop="1" x14ac:dyDescent="0.2">
      <c r="E23" s="14"/>
      <c r="F23" s="14"/>
      <c r="G23" s="14"/>
    </row>
    <row r="24" spans="1:7" ht="16.5" thickBot="1" x14ac:dyDescent="0.3">
      <c r="A24" s="8"/>
      <c r="B24" s="8"/>
      <c r="C24" s="51" t="e">
        <f>'Deckbl UPV '!#REF!</f>
        <v>#REF!</v>
      </c>
      <c r="D24" s="49">
        <f>'Deckbl UPV '!E28</f>
        <v>-400</v>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v>0</v>
      </c>
      <c r="D6" s="1138"/>
      <c r="E6" s="1138"/>
      <c r="F6" s="1138"/>
      <c r="G6" s="1138"/>
      <c r="H6" s="42"/>
    </row>
    <row r="7" spans="1:9" ht="14.45" customHeight="1" x14ac:dyDescent="0.2">
      <c r="A7" s="1014" t="s">
        <v>149</v>
      </c>
      <c r="B7" s="1014"/>
      <c r="C7" s="1127">
        <f>Formalien!$E$8</f>
        <v>0</v>
      </c>
      <c r="D7" s="1127"/>
      <c r="E7" s="1127"/>
      <c r="F7" s="1127"/>
      <c r="G7" s="1127"/>
      <c r="H7" s="42"/>
    </row>
    <row r="8" spans="1:9" ht="15" customHeight="1" x14ac:dyDescent="0.2">
      <c r="A8" s="1014" t="s">
        <v>0</v>
      </c>
      <c r="B8" s="1014"/>
      <c r="C8" s="1135">
        <f>Formalien!$E$6</f>
        <v>0</v>
      </c>
      <c r="D8" s="1135"/>
      <c r="E8" s="1135"/>
      <c r="F8" s="1135"/>
      <c r="G8" s="1135"/>
      <c r="H8" s="42"/>
    </row>
    <row r="9" spans="1:9" ht="15" x14ac:dyDescent="0.2">
      <c r="A9" s="1014" t="s">
        <v>1</v>
      </c>
      <c r="B9" s="1014"/>
      <c r="C9" s="1136">
        <f>Formalien!$E$3</f>
        <v>0</v>
      </c>
      <c r="D9" s="1136"/>
      <c r="E9" s="1136"/>
      <c r="F9" s="1136"/>
      <c r="G9" s="1139"/>
      <c r="H9" s="42"/>
    </row>
    <row r="10" spans="1:9" ht="15" x14ac:dyDescent="0.2">
      <c r="B10" s="3"/>
      <c r="C10" s="1133">
        <f>Formalien!$E$5</f>
        <v>0</v>
      </c>
      <c r="D10" s="1133"/>
      <c r="E10" s="1133"/>
      <c r="F10" s="3" t="s">
        <v>116</v>
      </c>
      <c r="G10" s="70">
        <f>Formalien!$E$4</f>
        <v>0</v>
      </c>
      <c r="H10" s="42"/>
    </row>
    <row r="11" spans="1:9" ht="15" x14ac:dyDescent="0.2">
      <c r="A11" s="1014" t="s">
        <v>145</v>
      </c>
      <c r="B11" s="1014"/>
      <c r="C11" s="1134">
        <f>Formalien!$E$14</f>
        <v>0</v>
      </c>
      <c r="D11" s="1134"/>
      <c r="E11" s="1134"/>
      <c r="F11" s="1134"/>
      <c r="G11" s="1140"/>
      <c r="H11" s="42"/>
    </row>
    <row r="12" spans="1:9" ht="15" customHeight="1" x14ac:dyDescent="0.2">
      <c r="A12" s="1" t="s">
        <v>117</v>
      </c>
      <c r="B12" s="1014" t="s">
        <v>121</v>
      </c>
      <c r="C12" s="1014"/>
      <c r="D12" s="1127">
        <f>Formalien!$E$12</f>
        <v>0</v>
      </c>
      <c r="E12" s="1127"/>
      <c r="F12" s="1127"/>
      <c r="G12" s="1127"/>
      <c r="H12" s="42"/>
    </row>
    <row r="13" spans="1:9" ht="15" customHeight="1" x14ac:dyDescent="0.2">
      <c r="A13" s="1014" t="s">
        <v>121</v>
      </c>
      <c r="B13" s="1014"/>
      <c r="C13" s="1014"/>
      <c r="D13" s="1127">
        <f>Formalien!$E$13</f>
        <v>0</v>
      </c>
      <c r="E13" s="1127"/>
      <c r="F13" s="1127"/>
      <c r="G13" s="1127"/>
      <c r="H13" s="42"/>
    </row>
    <row r="14" spans="1:9" ht="15" customHeight="1" x14ac:dyDescent="0.2">
      <c r="A14" s="1014" t="s">
        <v>118</v>
      </c>
      <c r="B14" s="1014"/>
      <c r="C14" s="1014"/>
      <c r="D14" s="1127">
        <f>Formalien!$E$10</f>
        <v>0</v>
      </c>
      <c r="E14" s="1127"/>
      <c r="F14" s="1127"/>
      <c r="G14" s="1127"/>
      <c r="H14" s="42"/>
    </row>
    <row r="15" spans="1:9" ht="15" customHeight="1" x14ac:dyDescent="0.2">
      <c r="A15" s="3"/>
      <c r="B15" s="3"/>
      <c r="C15" s="3" t="s">
        <v>150</v>
      </c>
      <c r="D15" s="1127">
        <f>Formalien!$E$11</f>
        <v>0</v>
      </c>
      <c r="E15" s="1127"/>
      <c r="F15" s="1127"/>
      <c r="G15" s="1127"/>
      <c r="H15" s="42"/>
    </row>
    <row r="16" spans="1:9" ht="15" customHeight="1" x14ac:dyDescent="0.2">
      <c r="A16" s="1014" t="s">
        <v>139</v>
      </c>
      <c r="B16" s="1014"/>
      <c r="C16" s="1014"/>
      <c r="D16" s="1137">
        <f>Formalien!$E$9</f>
        <v>0</v>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v>0</v>
      </c>
      <c r="B19" s="1014"/>
      <c r="C19" s="1014"/>
      <c r="D19" s="44">
        <f>'Deckbl UPV '!E21</f>
        <v>0</v>
      </c>
      <c r="E19" s="12" t="s">
        <v>119</v>
      </c>
      <c r="F19" s="45"/>
      <c r="G19" s="14"/>
      <c r="H19" s="42"/>
    </row>
    <row r="20" spans="1:8" x14ac:dyDescent="0.2">
      <c r="A20" s="1014">
        <f>'Deckbl UPV '!A22</f>
        <v>0</v>
      </c>
      <c r="B20" s="1014"/>
      <c r="C20" s="1014"/>
      <c r="D20" s="44">
        <f>'Deckbl UPV '!E22</f>
        <v>0</v>
      </c>
      <c r="E20" s="14"/>
      <c r="G20" s="14"/>
      <c r="H20" s="42"/>
    </row>
    <row r="21" spans="1:8" ht="13.5" thickBot="1" x14ac:dyDescent="0.25">
      <c r="A21" s="1014" t="e">
        <f>'Deckbl UPV '!#REF!</f>
        <v>#REF!</v>
      </c>
      <c r="B21" s="1014"/>
      <c r="C21" s="1014"/>
      <c r="D21" s="191">
        <f>'Deckbl UPV '!E23</f>
        <v>0</v>
      </c>
      <c r="E21" s="14"/>
      <c r="F21" s="45"/>
      <c r="G21" s="14"/>
      <c r="H21" s="42"/>
    </row>
    <row r="22" spans="1:8" x14ac:dyDescent="0.2">
      <c r="A22" s="1014">
        <f>'Deckbl UPV '!K24</f>
        <v>0</v>
      </c>
      <c r="B22" s="1014"/>
      <c r="C22" s="1014"/>
      <c r="D22" s="53">
        <f>'Deckbl UPV '!E24</f>
        <v>0</v>
      </c>
      <c r="E22" s="14"/>
      <c r="F22" s="45"/>
      <c r="G22" s="14"/>
      <c r="H22" s="42"/>
    </row>
    <row r="23" spans="1:8" x14ac:dyDescent="0.2">
      <c r="A23" s="1014">
        <f>'Deckbl UPV '!K26</f>
        <v>0</v>
      </c>
      <c r="B23" s="1014"/>
      <c r="C23" s="1014"/>
      <c r="D23" s="47"/>
      <c r="E23" s="14"/>
      <c r="F23" s="14"/>
      <c r="G23" s="14"/>
      <c r="H23" s="42"/>
    </row>
    <row r="24" spans="1:8" x14ac:dyDescent="0.2">
      <c r="A24" s="1014">
        <f>'Deckbl UPV '!C27</f>
        <v>0</v>
      </c>
      <c r="B24" s="1014"/>
      <c r="C24" s="1014"/>
      <c r="D24" s="47"/>
      <c r="E24" s="14"/>
      <c r="F24" s="14"/>
      <c r="G24" s="14"/>
      <c r="H24" s="42"/>
    </row>
    <row r="25" spans="1:8" ht="13.5" thickBot="1" x14ac:dyDescent="0.25">
      <c r="A25" s="1014">
        <f>'Deckbl UPV '!C28</f>
        <v>0</v>
      </c>
      <c r="B25" s="1014"/>
      <c r="C25" s="1014"/>
      <c r="D25" s="54">
        <f>'Deckbl UPV '!E26</f>
        <v>150</v>
      </c>
      <c r="E25" s="14"/>
      <c r="F25" s="45"/>
      <c r="G25" s="14"/>
      <c r="H25" s="42"/>
    </row>
    <row r="26" spans="1:8" ht="13.5" thickBot="1" x14ac:dyDescent="0.25">
      <c r="A26" s="14"/>
      <c r="B26" s="14"/>
      <c r="C26" s="51" t="e">
        <f>'Deckbl UPV '!#REF!</f>
        <v>#REF!</v>
      </c>
      <c r="D26" s="192">
        <f>'Deckbl UPV '!E28</f>
        <v>-400</v>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v>0</v>
      </c>
      <c r="E3" s="1269"/>
      <c r="F3" s="1269"/>
      <c r="G3" s="1269"/>
      <c r="H3" s="1270" t="s">
        <v>579</v>
      </c>
      <c r="I3" s="959"/>
      <c r="J3" s="959"/>
      <c r="K3" s="959"/>
    </row>
    <row r="4" spans="1:13" ht="14.45" customHeight="1" x14ac:dyDescent="0.25">
      <c r="A4" s="1271" t="s">
        <v>578</v>
      </c>
      <c r="B4" s="1271"/>
      <c r="C4" s="1210"/>
      <c r="D4" s="1272">
        <f>Formalien!$E$6</f>
        <v>0</v>
      </c>
      <c r="E4" s="1272"/>
      <c r="F4" s="1272"/>
      <c r="G4" s="1273">
        <f>IF(Formalien!$E$5="",Formalien!$E$4,Formalien!$E$4&amp;" / "&amp;Formalien!$E$5)</f>
        <v>0</v>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t="s">
        <v>635</v>
      </c>
      <c r="C12" s="1255"/>
      <c r="D12" s="1255"/>
      <c r="E12" s="1256"/>
      <c r="F12" s="707">
        <v>1</v>
      </c>
      <c r="G12" s="707"/>
      <c r="H12" s="1257">
        <v>150</v>
      </c>
      <c r="I12" s="1258"/>
      <c r="J12" s="721">
        <v>1</v>
      </c>
      <c r="K12" s="722">
        <f>(F12*H12*J12)</f>
        <v>150</v>
      </c>
      <c r="M12" s="661" t="s">
        <v>587</v>
      </c>
    </row>
    <row r="13" spans="1:13" ht="16.899999999999999" customHeight="1" thickBot="1" x14ac:dyDescent="0.3">
      <c r="A13" s="720"/>
      <c r="B13" s="708" t="s">
        <v>636</v>
      </c>
      <c r="C13" s="709"/>
      <c r="D13" s="710"/>
      <c r="E13" s="711"/>
      <c r="F13" s="712"/>
      <c r="G13" s="712"/>
      <c r="H13" s="1259"/>
      <c r="I13" s="1260"/>
      <c r="J13" s="723">
        <v>1</v>
      </c>
      <c r="K13" s="724">
        <f t="shared" ref="K13:K23" si="0">(F13*H13*J13)</f>
        <v>0</v>
      </c>
      <c r="M13" s="662" t="s">
        <v>584</v>
      </c>
    </row>
    <row r="14" spans="1:13" ht="16.899999999999999" customHeight="1" x14ac:dyDescent="0.25">
      <c r="A14" s="649" t="s">
        <v>81</v>
      </c>
      <c r="B14" s="1261"/>
      <c r="C14" s="1262"/>
      <c r="D14" s="1262"/>
      <c r="E14" s="1263"/>
      <c r="F14" s="713">
        <v>1</v>
      </c>
      <c r="G14" s="713"/>
      <c r="H14" s="1264"/>
      <c r="I14" s="1265"/>
      <c r="J14" s="725">
        <v>1</v>
      </c>
      <c r="K14" s="726">
        <f t="shared" si="0"/>
        <v>0</v>
      </c>
      <c r="M14" s="662" t="s">
        <v>585</v>
      </c>
    </row>
    <row r="15" spans="1:13" ht="16.899999999999999" customHeight="1" x14ac:dyDescent="0.25">
      <c r="A15" s="649" t="s">
        <v>90</v>
      </c>
      <c r="B15" s="1238"/>
      <c r="C15" s="1239"/>
      <c r="D15" s="1239"/>
      <c r="E15" s="1240"/>
      <c r="F15" s="649">
        <v>1</v>
      </c>
      <c r="G15" s="649"/>
      <c r="H15" s="1243"/>
      <c r="I15" s="1244"/>
      <c r="J15" s="727">
        <v>1</v>
      </c>
      <c r="K15" s="728">
        <f t="shared" si="0"/>
        <v>0</v>
      </c>
      <c r="M15" s="662" t="s">
        <v>589</v>
      </c>
    </row>
    <row r="16" spans="1:13" ht="16.899999999999999" customHeight="1" x14ac:dyDescent="0.25">
      <c r="A16" s="649" t="s">
        <v>93</v>
      </c>
      <c r="B16" s="1238"/>
      <c r="C16" s="1239"/>
      <c r="D16" s="1239"/>
      <c r="E16" s="1240"/>
      <c r="F16" s="649">
        <v>1</v>
      </c>
      <c r="G16" s="649"/>
      <c r="H16" s="1243"/>
      <c r="I16" s="1244"/>
      <c r="J16" s="727">
        <v>1</v>
      </c>
      <c r="K16" s="728">
        <f t="shared" si="0"/>
        <v>0</v>
      </c>
      <c r="M16" s="664" t="s">
        <v>593</v>
      </c>
    </row>
    <row r="17" spans="1:15" ht="16.899999999999999" customHeight="1" x14ac:dyDescent="0.25">
      <c r="A17" s="649" t="s">
        <v>98</v>
      </c>
      <c r="B17" s="1238"/>
      <c r="C17" s="1239"/>
      <c r="D17" s="1239"/>
      <c r="E17" s="1240"/>
      <c r="F17" s="649">
        <v>1</v>
      </c>
      <c r="G17" s="649"/>
      <c r="H17" s="1243"/>
      <c r="I17" s="1244"/>
      <c r="J17" s="727">
        <v>1</v>
      </c>
      <c r="K17" s="728">
        <f t="shared" si="0"/>
        <v>0</v>
      </c>
      <c r="M17" s="702" t="s">
        <v>604</v>
      </c>
    </row>
    <row r="18" spans="1:15" ht="16.899999999999999" customHeight="1" x14ac:dyDescent="0.25">
      <c r="A18" s="649" t="s">
        <v>101</v>
      </c>
      <c r="B18" s="1238"/>
      <c r="C18" s="1239"/>
      <c r="D18" s="1239"/>
      <c r="E18" s="1240"/>
      <c r="F18" s="649">
        <v>1</v>
      </c>
      <c r="G18" s="649"/>
      <c r="H18" s="1243"/>
      <c r="I18" s="1244"/>
      <c r="J18" s="727">
        <v>1</v>
      </c>
      <c r="K18" s="728">
        <f t="shared" si="0"/>
        <v>0</v>
      </c>
      <c r="M18" s="702" t="s">
        <v>605</v>
      </c>
    </row>
    <row r="19" spans="1:15" ht="16.899999999999999" customHeight="1" x14ac:dyDescent="0.25">
      <c r="A19" s="649" t="s">
        <v>609</v>
      </c>
      <c r="B19" s="699"/>
      <c r="C19" s="700"/>
      <c r="D19" s="700"/>
      <c r="E19" s="701"/>
      <c r="F19" s="649">
        <v>1</v>
      </c>
      <c r="G19" s="649"/>
      <c r="H19" s="1245"/>
      <c r="I19" s="1246"/>
      <c r="J19" s="727">
        <v>1</v>
      </c>
      <c r="K19" s="728">
        <f t="shared" si="0"/>
        <v>0</v>
      </c>
      <c r="M19" s="702"/>
    </row>
    <row r="20" spans="1:15" ht="16.899999999999999" customHeight="1" x14ac:dyDescent="0.25">
      <c r="A20" s="649" t="s">
        <v>610</v>
      </c>
      <c r="B20" s="1238"/>
      <c r="C20" s="1239"/>
      <c r="D20" s="1239"/>
      <c r="E20" s="1240"/>
      <c r="F20" s="649">
        <v>1</v>
      </c>
      <c r="G20" s="649"/>
      <c r="H20" s="1243"/>
      <c r="I20" s="1244"/>
      <c r="J20" s="727">
        <v>1</v>
      </c>
      <c r="K20" s="728">
        <f t="shared" si="0"/>
        <v>0</v>
      </c>
      <c r="M20" s="702" t="s">
        <v>606</v>
      </c>
    </row>
    <row r="21" spans="1:15" ht="16.899999999999999" customHeight="1" x14ac:dyDescent="0.25">
      <c r="A21" s="649" t="s">
        <v>103</v>
      </c>
      <c r="B21" s="1238"/>
      <c r="C21" s="1239"/>
      <c r="D21" s="1239"/>
      <c r="E21" s="1240"/>
      <c r="F21" s="649">
        <v>1</v>
      </c>
      <c r="G21" s="649"/>
      <c r="H21" s="1245"/>
      <c r="I21" s="1246"/>
      <c r="J21" s="727">
        <v>1</v>
      </c>
      <c r="K21" s="728"/>
      <c r="M21" s="702" t="s">
        <v>590</v>
      </c>
    </row>
    <row r="22" spans="1:15" ht="16.899999999999999" customHeight="1" x14ac:dyDescent="0.25">
      <c r="A22" s="649" t="s">
        <v>105</v>
      </c>
      <c r="B22" s="1238"/>
      <c r="C22" s="1239"/>
      <c r="D22" s="1239"/>
      <c r="E22" s="1240"/>
      <c r="F22" s="729"/>
      <c r="G22" s="649"/>
      <c r="H22" s="1243"/>
      <c r="I22" s="1244"/>
      <c r="J22" s="727"/>
      <c r="K22" s="728">
        <f t="shared" si="0"/>
        <v>0</v>
      </c>
      <c r="M22" s="662" t="s">
        <v>586</v>
      </c>
    </row>
    <row r="23" spans="1:15" ht="16.899999999999999" customHeight="1" thickBot="1" x14ac:dyDescent="0.3">
      <c r="A23" s="649" t="s">
        <v>109</v>
      </c>
      <c r="B23" s="730"/>
      <c r="C23" s="700"/>
      <c r="D23" s="700"/>
      <c r="E23" s="731"/>
      <c r="F23" s="649"/>
      <c r="G23" s="732"/>
      <c r="H23" s="1243"/>
      <c r="I23" s="1244"/>
      <c r="J23" s="727"/>
      <c r="K23" s="724">
        <f t="shared" si="0"/>
        <v>0</v>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v>150</v>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t="s">
        <v>608</v>
      </c>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v>1</v>
      </c>
      <c r="G34" s="713"/>
      <c r="H34" s="1214"/>
      <c r="I34" s="1215"/>
      <c r="J34" s="725">
        <v>1</v>
      </c>
      <c r="K34" s="741">
        <f>(F34*H34*J34)</f>
        <v>0</v>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v>0</v>
      </c>
      <c r="M35" s="664" t="s">
        <v>601</v>
      </c>
    </row>
    <row r="36" spans="1:14" ht="16.899999999999999" customHeight="1" x14ac:dyDescent="0.25">
      <c r="A36" s="742" t="s">
        <v>90</v>
      </c>
      <c r="B36" s="1196"/>
      <c r="C36" s="1197"/>
      <c r="D36" s="1197"/>
      <c r="E36" s="1198"/>
      <c r="F36" s="729"/>
      <c r="G36" s="649"/>
      <c r="H36" s="1199"/>
      <c r="I36" s="1200"/>
      <c r="J36" s="727">
        <v>1</v>
      </c>
      <c r="K36" s="743">
        <f t="shared" si="1"/>
        <v>0</v>
      </c>
      <c r="M36" s="665" t="s">
        <v>607</v>
      </c>
    </row>
    <row r="37" spans="1:14" ht="16.899999999999999" customHeight="1" x14ac:dyDescent="0.25">
      <c r="A37" s="742" t="s">
        <v>93</v>
      </c>
      <c r="B37" s="1196"/>
      <c r="C37" s="1197"/>
      <c r="D37" s="1197"/>
      <c r="E37" s="1198"/>
      <c r="F37" s="729"/>
      <c r="G37" s="649"/>
      <c r="H37" s="1199"/>
      <c r="I37" s="1200"/>
      <c r="J37" s="727">
        <v>1</v>
      </c>
      <c r="K37" s="743">
        <f t="shared" si="1"/>
        <v>0</v>
      </c>
      <c r="L37" s="623"/>
      <c r="M37" s="664" t="s">
        <v>602</v>
      </c>
    </row>
    <row r="38" spans="1:14" ht="16.899999999999999" customHeight="1" x14ac:dyDescent="0.25">
      <c r="A38" s="742" t="s">
        <v>98</v>
      </c>
      <c r="B38" s="1196"/>
      <c r="C38" s="1197"/>
      <c r="D38" s="1197"/>
      <c r="E38" s="1198"/>
      <c r="F38" s="729"/>
      <c r="G38" s="649"/>
      <c r="H38" s="1199"/>
      <c r="I38" s="1200"/>
      <c r="J38" s="727">
        <v>1</v>
      </c>
      <c r="K38" s="743">
        <f t="shared" si="1"/>
        <v>0</v>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v>0</v>
      </c>
      <c r="M39" s="664" t="s">
        <v>594</v>
      </c>
    </row>
    <row r="40" spans="1:14" ht="16.899999999999999" customHeight="1" x14ac:dyDescent="0.25">
      <c r="A40" s="742" t="s">
        <v>609</v>
      </c>
      <c r="B40" s="1196"/>
      <c r="C40" s="1197"/>
      <c r="D40" s="1197"/>
      <c r="E40" s="1198"/>
      <c r="F40" s="729"/>
      <c r="G40" s="649"/>
      <c r="H40" s="1199"/>
      <c r="I40" s="1200"/>
      <c r="J40" s="727">
        <v>1</v>
      </c>
      <c r="K40" s="743">
        <f t="shared" si="1"/>
        <v>0</v>
      </c>
      <c r="M40" s="664" t="s">
        <v>600</v>
      </c>
    </row>
    <row r="41" spans="1:14" ht="16.899999999999999" customHeight="1" x14ac:dyDescent="0.25">
      <c r="A41" s="742" t="s">
        <v>610</v>
      </c>
      <c r="B41" s="1196"/>
      <c r="C41" s="1197"/>
      <c r="D41" s="1197"/>
      <c r="E41" s="1198"/>
      <c r="F41" s="729"/>
      <c r="G41" s="649"/>
      <c r="H41" s="1199"/>
      <c r="I41" s="1200"/>
      <c r="J41" s="727">
        <v>1</v>
      </c>
      <c r="K41" s="743">
        <f t="shared" si="1"/>
        <v>0</v>
      </c>
      <c r="M41" s="664" t="s">
        <v>603</v>
      </c>
    </row>
    <row r="42" spans="1:14" ht="16.899999999999999" customHeight="1" x14ac:dyDescent="0.25">
      <c r="A42" s="742" t="s">
        <v>103</v>
      </c>
      <c r="B42" s="1196"/>
      <c r="C42" s="1197"/>
      <c r="D42" s="1197"/>
      <c r="E42" s="1198"/>
      <c r="F42" s="729"/>
      <c r="G42" s="649"/>
      <c r="H42" s="1199"/>
      <c r="I42" s="1200"/>
      <c r="J42" s="727">
        <v>1</v>
      </c>
      <c r="K42" s="743">
        <f t="shared" si="1"/>
        <v>0</v>
      </c>
    </row>
    <row r="43" spans="1:14" ht="16.899999999999999" customHeight="1" x14ac:dyDescent="0.25">
      <c r="A43" s="742" t="s">
        <v>103</v>
      </c>
      <c r="B43" s="1196"/>
      <c r="C43" s="1197"/>
      <c r="D43" s="1197"/>
      <c r="E43" s="1198"/>
      <c r="F43" s="729"/>
      <c r="G43" s="649"/>
      <c r="H43" s="1199"/>
      <c r="I43" s="1200"/>
      <c r="J43" s="727">
        <v>1</v>
      </c>
      <c r="K43" s="743">
        <f t="shared" si="1"/>
        <v>0</v>
      </c>
    </row>
    <row r="44" spans="1:14" ht="16.899999999999999" customHeight="1" thickBot="1" x14ac:dyDescent="0.3">
      <c r="A44" s="744" t="s">
        <v>105</v>
      </c>
      <c r="B44" s="1201"/>
      <c r="C44" s="1202"/>
      <c r="D44" s="1202"/>
      <c r="E44" s="1203"/>
      <c r="F44" s="729"/>
      <c r="G44" s="649"/>
      <c r="H44" s="1199"/>
      <c r="I44" s="1200"/>
      <c r="J44" s="745">
        <v>1</v>
      </c>
      <c r="K44" s="746">
        <f t="shared" si="1"/>
        <v>0</v>
      </c>
    </row>
    <row r="45" spans="1:14" ht="16.899999999999999" customHeight="1" thickBot="1" x14ac:dyDescent="0.3">
      <c r="A45" s="193"/>
      <c r="B45" s="747"/>
      <c r="C45" s="615"/>
      <c r="D45" s="615"/>
      <c r="E45" s="615"/>
      <c r="F45" s="748"/>
      <c r="G45" s="748"/>
      <c r="H45" s="749"/>
      <c r="I45" s="750"/>
      <c r="J45" s="751" t="s">
        <v>639</v>
      </c>
      <c r="K45" s="752">
        <f>SUM(K34:K44)</f>
        <v>0</v>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v>0</v>
      </c>
      <c r="E60" s="1189" t="s">
        <v>121</v>
      </c>
      <c r="F60" s="872"/>
      <c r="G60" s="1190">
        <f>Formalien!$E$12</f>
        <v>0</v>
      </c>
      <c r="H60" s="1190"/>
      <c r="I60" s="656" t="s">
        <v>110</v>
      </c>
      <c r="J60" s="1291">
        <f>Formalien!$E$13</f>
        <v>0</v>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v>0</v>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v>L</v>
      </c>
      <c r="C88" s="123" t="s">
        <v>44</v>
      </c>
      <c r="D88" s="138">
        <f>VLOOKUP(D90,uwe,2)</f>
        <v>0</v>
      </c>
      <c r="E88" s="122" t="s">
        <v>47</v>
      </c>
      <c r="F88" s="122">
        <f>VLOOKUP(D90,uwe,5)</f>
        <v>5</v>
      </c>
      <c r="G88" s="122"/>
      <c r="H88" s="123" t="s">
        <v>7</v>
      </c>
      <c r="I88" s="133">
        <f>Baulichkeiten!$I$13</f>
        <v>0</v>
      </c>
      <c r="J88" s="58" t="s">
        <v>319</v>
      </c>
      <c r="K88" s="58" t="s">
        <v>160</v>
      </c>
    </row>
    <row r="89" spans="1:11" x14ac:dyDescent="0.25">
      <c r="A89" s="124"/>
      <c r="C89" s="78"/>
      <c r="I89" s="125"/>
      <c r="J89" s="58" t="s">
        <v>214</v>
      </c>
      <c r="K89" s="58" t="s">
        <v>161</v>
      </c>
    </row>
    <row r="90" spans="1:11" x14ac:dyDescent="0.25">
      <c r="A90" s="126" t="s">
        <v>156</v>
      </c>
      <c r="B90" s="177">
        <f>VLOOKUP(D90,uwe,3)</f>
        <v>0</v>
      </c>
      <c r="C90" s="128" t="s">
        <v>170</v>
      </c>
      <c r="D90" s="1287" t="str">
        <f>Baulichkeiten!$G$12</f>
        <v>fehlt</v>
      </c>
      <c r="E90" s="1287"/>
      <c r="F90" s="1287"/>
      <c r="G90" s="127"/>
      <c r="H90" s="128" t="s">
        <v>37</v>
      </c>
      <c r="I90" s="178">
        <f>VLOOKUP(I88,nelke,F88)</f>
        <v>0</v>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v>A1</v>
      </c>
      <c r="C93" s="123" t="s">
        <v>44</v>
      </c>
      <c r="D93" s="138">
        <f>VLOOKUP(D95,uwe,2)</f>
        <v>0</v>
      </c>
      <c r="E93" s="122" t="s">
        <v>47</v>
      </c>
      <c r="F93" s="122">
        <f>VLOOKUP(D95,uwe,5)</f>
        <v>5</v>
      </c>
      <c r="G93" s="1289" t="s">
        <v>7</v>
      </c>
      <c r="H93" s="1289"/>
      <c r="I93" s="133">
        <f>Baulichkeiten!$I$22</f>
        <v>0</v>
      </c>
      <c r="J93" s="58" t="s">
        <v>323</v>
      </c>
      <c r="K93" s="58" t="s">
        <v>165</v>
      </c>
    </row>
    <row r="94" spans="1:11" x14ac:dyDescent="0.25">
      <c r="A94" s="124"/>
      <c r="C94" s="78"/>
      <c r="I94" s="125"/>
      <c r="J94" s="58" t="s">
        <v>311</v>
      </c>
      <c r="K94" s="58" t="s">
        <v>166</v>
      </c>
    </row>
    <row r="95" spans="1:11" x14ac:dyDescent="0.25">
      <c r="A95" s="126" t="s">
        <v>156</v>
      </c>
      <c r="B95" s="177">
        <f>VLOOKUP(D95,uwe,3)</f>
        <v>0</v>
      </c>
      <c r="C95" s="128" t="s">
        <v>170</v>
      </c>
      <c r="D95" s="1287" t="str">
        <f>Baulichkeiten!$G$21</f>
        <v>fehlt</v>
      </c>
      <c r="E95" s="1287"/>
      <c r="F95" s="1287"/>
      <c r="G95" s="127"/>
      <c r="H95" s="128" t="s">
        <v>37</v>
      </c>
      <c r="I95" s="178">
        <f>VLOOKUP(I93,nelke,F93)</f>
        <v>0</v>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v>A2</v>
      </c>
      <c r="C98" s="123" t="s">
        <v>44</v>
      </c>
      <c r="D98" s="138">
        <f>VLOOKUP(D100,uwe,2)</f>
        <v>0</v>
      </c>
      <c r="E98" s="122" t="s">
        <v>47</v>
      </c>
      <c r="F98" s="122">
        <f>VLOOKUP(D100,uwe,5)</f>
        <v>5</v>
      </c>
      <c r="G98" s="1289" t="s">
        <v>7</v>
      </c>
      <c r="H98" s="1289"/>
      <c r="I98" s="137">
        <f>Baulichkeiten!$I$31</f>
        <v>0</v>
      </c>
      <c r="J98" s="58" t="s">
        <v>306</v>
      </c>
      <c r="K98" s="58" t="s">
        <v>167</v>
      </c>
    </row>
    <row r="99" spans="1:12" x14ac:dyDescent="0.25">
      <c r="A99" s="124"/>
      <c r="C99" s="78"/>
      <c r="J99" s="58" t="s">
        <v>324</v>
      </c>
      <c r="K99" s="58" t="s">
        <v>168</v>
      </c>
    </row>
    <row r="100" spans="1:12" x14ac:dyDescent="0.25">
      <c r="A100" s="126" t="s">
        <v>45</v>
      </c>
      <c r="B100" s="177">
        <f>VLOOKUP(D100,uwe,3)</f>
        <v>0</v>
      </c>
      <c r="C100" s="128" t="s">
        <v>171</v>
      </c>
      <c r="D100" s="1288" t="str">
        <f>Baulichkeiten!$G$30</f>
        <v>fehlt</v>
      </c>
      <c r="E100" s="1288"/>
      <c r="F100" s="1288"/>
      <c r="G100" s="127"/>
      <c r="H100" s="128" t="s">
        <v>37</v>
      </c>
      <c r="I100" s="178">
        <f>VLOOKUP(I98,nelke,F98)</f>
        <v>0</v>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v>S oder U</v>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v>0</v>
      </c>
      <c r="E103" s="122" t="s">
        <v>47</v>
      </c>
      <c r="F103" s="122">
        <f>VLOOKUP(D105,uwe,5)</f>
        <v>5</v>
      </c>
      <c r="G103" s="1289" t="s">
        <v>7</v>
      </c>
      <c r="H103" s="1289"/>
      <c r="I103" s="137">
        <f>Baulichkeiten!$I$48</f>
        <v>0</v>
      </c>
      <c r="J103" s="59" t="s">
        <v>326</v>
      </c>
      <c r="K103" s="59" t="s">
        <v>169</v>
      </c>
    </row>
    <row r="104" spans="1:12" x14ac:dyDescent="0.25">
      <c r="A104" s="124"/>
      <c r="C104" s="78"/>
      <c r="J104" s="59" t="s">
        <v>294</v>
      </c>
      <c r="K104" s="135">
        <v>0</v>
      </c>
    </row>
    <row r="105" spans="1:12" x14ac:dyDescent="0.25">
      <c r="A105" s="126" t="s">
        <v>45</v>
      </c>
      <c r="B105" s="177">
        <f>VLOOKUP(D105,uwe,3)</f>
        <v>0</v>
      </c>
      <c r="C105" s="128" t="s">
        <v>171</v>
      </c>
      <c r="D105" s="1287" t="str">
        <f>Baulichkeiten!$G$47</f>
        <v>fehlt</v>
      </c>
      <c r="E105" s="1287"/>
      <c r="F105" s="1287"/>
      <c r="G105" s="127"/>
      <c r="H105" s="128" t="s">
        <v>37</v>
      </c>
      <c r="I105" s="176">
        <f>VLOOKUP(I103,nelke,F103)</f>
        <v>0</v>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v>#REF!</v>
      </c>
      <c r="E112" t="s">
        <v>47</v>
      </c>
      <c r="F112" s="117">
        <v>6</v>
      </c>
      <c r="H112" s="119" t="s">
        <v>349</v>
      </c>
    </row>
    <row r="113" spans="1:8" x14ac:dyDescent="0.25">
      <c r="A113" s="141"/>
      <c r="F113" s="117"/>
    </row>
    <row r="114" spans="1:8" x14ac:dyDescent="0.25">
      <c r="A114" s="141"/>
      <c r="C114" t="s">
        <v>46</v>
      </c>
      <c r="D114" s="186" t="e">
        <f>VLOOKUP(D112,uwe,4)</f>
        <v>#REF!</v>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v>#REF!</v>
      </c>
      <c r="E117" t="s">
        <v>47</v>
      </c>
      <c r="F117" s="117">
        <v>6</v>
      </c>
    </row>
    <row r="118" spans="1:8" x14ac:dyDescent="0.25">
      <c r="A118" s="141"/>
      <c r="F118" s="117"/>
      <c r="H118" s="118" t="s">
        <v>337</v>
      </c>
    </row>
    <row r="119" spans="1:8" x14ac:dyDescent="0.25">
      <c r="A119" s="141"/>
      <c r="C119" t="s">
        <v>46</v>
      </c>
      <c r="D119" s="186" t="e">
        <f>VLOOKUP(D117,uwe,4)</f>
        <v>#REF!</v>
      </c>
      <c r="F119" s="117"/>
    </row>
    <row r="120" spans="1:8" x14ac:dyDescent="0.25">
      <c r="A120" s="141"/>
      <c r="F120" s="117"/>
    </row>
    <row r="121" spans="1:8" x14ac:dyDescent="0.25">
      <c r="A121" s="141"/>
      <c r="F121" s="117"/>
    </row>
    <row r="122" spans="1:8" x14ac:dyDescent="0.25">
      <c r="A122" s="141" t="s">
        <v>10</v>
      </c>
      <c r="B122" s="142" t="s">
        <v>335</v>
      </c>
      <c r="C122" t="s">
        <v>44</v>
      </c>
      <c r="D122" s="147" t="e">
        <f>#REF!</f>
        <v>#REF!</v>
      </c>
      <c r="E122" t="s">
        <v>47</v>
      </c>
      <c r="F122" s="117">
        <v>6</v>
      </c>
    </row>
    <row r="123" spans="1:8" x14ac:dyDescent="0.25">
      <c r="A123" s="141"/>
      <c r="F123" s="117"/>
    </row>
    <row r="124" spans="1:8" ht="15.75" thickBot="1" x14ac:dyDescent="0.3">
      <c r="A124" s="144"/>
      <c r="B124" s="80"/>
      <c r="C124" s="80" t="s">
        <v>46</v>
      </c>
      <c r="D124" s="187" t="e">
        <f>VLOOKUP(D122,uwe,4)</f>
        <v>#REF!</v>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