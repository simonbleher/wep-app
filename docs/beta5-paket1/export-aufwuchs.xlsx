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Default Extension="png" ContentType="image/png"/>
  <Default Extension="svg" ContentType="image/sv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BKL.Beschreibung">Tabelle1!$C$128:$G$151</definedName>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Gutachten" localSheetId="16">Beseitigungskosten!$C$63</definedName>
    <definedName name="Jürgen">Tabelle1!$C$130:$G$151</definedName>
    <definedName name="Kinderspielhaus" localSheetId="8">'Anl IV Schuppen'!$B$137</definedName>
    <definedName name="nelke">Tabelle1!$B$3:$F$83</definedName>
    <definedName name="rose">Tabelle1!$B$129:$G$151</definedName>
    <definedName name="typen">Baulichkeiten!$N$45:$N$66</definedName>
    <definedName name="ungeprüft">Tabelle1!$I$12</definedName>
    <definedName name="uwe">Tabelle1!$J$54:$N$75</definedName>
    <definedName name="uwe.2">Tabelle1!$J$54:$N$75</definedName>
    <definedName name="wasserlos" localSheetId="16">Beseitigungskosten!$C$67</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s>
  <commentLis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81" authorId="0" shapeId="0" xr:uid="{CAFC7C02-0CCC-4623-9549-8B8C9D192FB2}">
      <text>
        <r>
          <rPr>
            <b/>
            <sz val="9"/>
            <color indexed="81"/>
            <rFont val="Segoe UI"/>
            <family val="2"/>
          </rPr>
          <t>user:</t>
        </r>
        <r>
          <rPr>
            <sz val="9"/>
            <color indexed="81"/>
            <rFont val="Segoe UI"/>
            <family val="2"/>
          </rPr>
          <t xml:space="preserve">
</t>
        </r>
      </text>
    </comment>
  </commentList>
</comments>
</file>

<file path=xl/sharedStrings.xml><?xml version="1.0" encoding="utf-8"?>
<sst xmlns="http://schemas.openxmlformats.org/spreadsheetml/2006/main" count="1236" uniqueCount="654">
  <si>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</si>
  <si>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</si>
  <si>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</si>
  <si>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</si>
  <si>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</si>
  <si>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</si>
  <si>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</si>
  <si>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</si>
  <si>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</si>
  <si>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</si>
  <si>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</si>
  <si>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</si>
  <si>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</si>
  <si>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</si>
  <si>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</si>
  <si>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</si>
  <si>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</si>
  <si>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</si>
  <si>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</si>
  <si>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</si>
  <si>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</si>
  <si>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</si>
  <si>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</si>
  <si>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</si>
  <si>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</si>
  <si>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</si>
  <si>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</si>
  <si>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</si>
  <si>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</si>
  <si>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</si>
  <si>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</si>
  <si>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</si>
  <si>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</si>
  <si>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</si>
  <si>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</si>
  <si>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</si>
  <si>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</si>
  <si>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</si>
  <si>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</si>
  <si>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</si>
  <si>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</si>
  <si>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</si>
  <si>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</si>
  <si>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</si>
  <si>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</si>
  <si>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</si>
  <si>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</si>
  <si>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</si>
  <si>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</si>
  <si>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</si>
  <si>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</si>
  <si>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</si>
  <si>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</si>
  <si>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</si>
  <si>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</si>
  <si>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</si>
  <si>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</si>
  <si>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</si>
  <si>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</si>
  <si>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</si>
  <si>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</si>
  <si>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</si>
  <si>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</si>
  <si>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</si>
  <si>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</si>
  <si>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</si>
  <si>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</si>
  <si>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</si>
  <si>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</si>
  <si>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</si>
  <si>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</si>
  <si>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</si>
  <si>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</si>
  <si>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</si>
  <si>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</si>
  <si>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</si>
  <si>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</si>
  <si>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</si>
  <si>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</si>
  <si>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</si>
  <si>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</si>
  <si>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</si>
  <si>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</si>
  <si>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</si>
  <si>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</si>
  <si>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</si>
  <si>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</si>
  <si>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</si>
  <si>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</si>
  <si>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</si>
  <si>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</si>
  <si>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</si>
  <si>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</si>
  <si>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</si>
  <si>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</si>
  <si>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</si>
  <si>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</si>
  <si>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</si>
  <si>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</si>
  <si>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</si>
  <si>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</si>
  <si>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</si>
  <si>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</si>
  <si>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</si>
  <si>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</si>
  <si>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</si>
  <si>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</si>
  <si>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</si>
  <si>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</si>
  <si>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</si>
  <si>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</si>
  <si>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</si>
  <si>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</si>
  <si>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</si>
  <si>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</si>
  <si>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</si>
  <si>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</si>
  <si>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</si>
  <si>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</si>
  <si>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</si>
  <si>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</si>
  <si>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</si>
  <si>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</si>
  <si>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</si>
  <si>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</si>
  <si>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</si>
  <si>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</si>
  <si>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</si>
  <si>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</si>
  <si>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</si>
  <si>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</si>
  <si>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</si>
  <si>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</si>
  <si>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</si>
  <si>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</si>
  <si>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</si>
  <si>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</si>
  <si>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</si>
  <si>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</si>
  <si>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</si>
  <si>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</si>
  <si>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</si>
  <si>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</si>
  <si>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</si>
  <si>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</si>
  <si>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</si>
  <si>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</si>
  <si>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</si>
  <si>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</si>
  <si>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</si>
  <si>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</si>
  <si>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</si>
  <si>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</si>
  <si>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</si>
  <si>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</si>
  <si>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</si>
  <si>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</si>
  <si>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</si>
  <si>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</si>
  <si>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</si>
  <si>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</si>
  <si>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</si>
  <si>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</si>
  <si>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</si>
  <si>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</si>
  <si>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</si>
  <si>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</si>
  <si>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</si>
  <si>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</si>
  <si>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</si>
  <si>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</si>
  <si>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</si>
  <si>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</si>
  <si>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</si>
  <si>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</si>
  <si>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</si>
  <si>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</si>
  <si>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</si>
  <si>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</si>
  <si>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</si>
  <si>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</si>
  <si>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</si>
  <si>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</si>
  <si>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</si>
  <si>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</si>
  <si>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</si>
  <si>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</si>
  <si>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</si>
  <si>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</si>
  <si>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</si>
  <si>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</si>
  <si>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</si>
  <si>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</si>
  <si>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</si>
  <si>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</si>
  <si>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</si>
  <si>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</si>
  <si>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</si>
  <si>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</si>
  <si>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</si>
  <si>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</si>
  <si>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</si>
  <si>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</si>
  <si>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</si>
  <si>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</si>
  <si>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</si>
  <si>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</si>
  <si>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</si>
  <si>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</si>
  <si>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</si>
  <si>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</si>
  <si>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</si>
  <si>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</si>
  <si>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</si>
  <si>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</si>
  <si>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</si>
  <si>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</si>
  <si>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</si>
  <si>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</si>
  <si>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</si>
  <si>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</si>
  <si>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</si>
  <si>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</si>
  <si>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</si>
  <si>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</si>
  <si>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</si>
  <si>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</si>
  <si>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</si>
  <si>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</si>
  <si>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</si>
  <si>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</si>
  <si>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</si>
  <si>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</si>
  <si>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</si>
  <si>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</si>
  <si>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</si>
  <si>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</si>
  <si>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</si>
  <si>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</si>
  <si>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</si>
  <si>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</si>
  <si>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</si>
  <si>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</si>
  <si>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</si>
  <si>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</si>
  <si>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</si>
  <si>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</si>
  <si>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</si>
  <si>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</si>
  <si>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</si>
  <si>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</si>
  <si>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</si>
  <si>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</si>
  <si>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</si>
  <si>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</si>
  <si>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</si>
  <si>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</si>
  <si>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</si>
  <si>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</si>
  <si>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</si>
  <si>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</si>
  <si>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</si>
  <si>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</si>
  <si>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</si>
  <si>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</si>
  <si>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</si>
  <si>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</si>
  <si>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</si>
  <si>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</si>
  <si>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</si>
  <si>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</si>
  <si>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</si>
  <si>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</si>
  <si>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</si>
  <si>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</si>
  <si>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</si>
  <si>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</si>
  <si>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</si>
  <si>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</si>
  <si>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</si>
  <si>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</si>
  <si>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</si>
  <si>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</si>
  <si>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</si>
  <si>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</si>
  <si>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</si>
  <si>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</si>
  <si>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</si>
  <si>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</si>
  <si>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</si>
  <si>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</si>
  <si>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</si>
  <si>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</si>
  <si>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</si>
  <si>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</si>
  <si>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</si>
  <si>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</si>
  <si>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</si>
  <si>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</si>
  <si>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</si>
  <si>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</si>
  <si>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</si>
  <si>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</si>
  <si>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</si>
  <si>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</si>
  <si>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</si>
  <si>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</si>
  <si>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</si>
  <si>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</si>
  <si>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</si>
  <si>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</si>
  <si>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</si>
  <si>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</si>
  <si>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</si>
  <si>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</si>
  <si>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</si>
  <si>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</si>
  <si>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</si>
  <si>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</si>
  <si>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</si>
  <si>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</si>
  <si>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</si>
  <si>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</si>
  <si>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</si>
  <si>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</si>
  <si>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</si>
  <si>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</si>
  <si>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</si>
  <si>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</si>
  <si>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</si>
  <si>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</si>
  <si>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</si>
  <si>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</si>
  <si>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</si>
  <si>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</si>
  <si>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</si>
  <si>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</si>
  <si>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</si>
  <si>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</si>
  <si>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</si>
  <si>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</si>
  <si>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</si>
  <si>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</si>
  <si>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</si>
  <si>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</si>
  <si>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</si>
  <si>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</si>
  <si>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</si>
  <si>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</si>
  <si>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</si>
  <si>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</si>
  <si>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</si>
  <si>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</si>
  <si>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</si>
  <si>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</si>
  <si>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</si>
  <si>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</si>
  <si>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</si>
  <si>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</si>
  <si>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</si>
  <si>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</si>
  <si>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</si>
  <si>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</si>
  <si>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</si>
  <si>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</si>
  <si>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</si>
  <si>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</si>
  <si>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</si>
  <si>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</si>
  <si>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</si>
  <si>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</si>
  <si>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</si>
  <si>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</si>
  <si>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</si>
  <si>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</si>
  <si>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</si>
  <si>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</si>
  <si>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</si>
  <si>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</si>
  <si>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</si>
  <si>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</si>
  <si>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</si>
  <si>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</si>
  <si>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</si>
  <si>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</si>
  <si>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</si>
  <si>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</si>
  <si>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</si>
  <si>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</si>
  <si>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</si>
  <si>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</si>
  <si>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</si>
  <si>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</si>
  <si>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</si>
  <si>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</si>
  <si>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</si>
  <si>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</si>
  <si>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</si>
  <si>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</si>
  <si>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</si>
  <si>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</si>
  <si>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</si>
  <si>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</si>
  <si>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</si>
  <si>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</si>
  <si>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</si>
  <si>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</si>
  <si>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</si>
  <si>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</si>
  <si>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</si>
  <si>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</si>
  <si>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</si>
  <si>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</si>
  <si>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</si>
  <si>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</si>
  <si>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</si>
  <si>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</si>
  <si>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</si>
  <si>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</si>
  <si>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</si>
  <si>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</si>
  <si>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</si>
  <si>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</si>
  <si>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</si>
  <si>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</si>
  <si>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</si>
  <si>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</si>
  <si>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</si>
  <si>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</si>
  <si>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</si>
  <si>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</si>
  <si>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</si>
  <si>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</si>
  <si>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</si>
  <si>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</si>
  <si>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</si>
  <si>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</si>
  <si>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</si>
  <si>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</si>
  <si>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</si>
  <si>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</si>
  <si>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</si>
  <si>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</si>
  <si>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</si>
  <si>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</si>
  <si>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</si>
  <si>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</si>
  <si>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</si>
  <si>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</si>
  <si>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</si>
  <si>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</si>
  <si>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</si>
  <si>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</si>
  <si>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</si>
  <si>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</si>
  <si>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</si>
  <si>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</si>
  <si>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</si>
  <si>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</si>
  <si>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</si>
  <si>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</si>
  <si>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</si>
  <si>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</si>
  <si>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</si>
  <si>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</si>
  <si>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</si>
  <si>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</si>
  <si>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</si>
  <si>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</si>
  <si>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</si>
  <si>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</si>
  <si>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</si>
  <si>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</si>
  <si>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</si>
  <si>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</si>
  <si>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</si>
  <si>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</si>
  <si>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</si>
  <si>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</si>
  <si>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</si>
  <si>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</si>
  <si>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</si>
  <si>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</si>
  <si>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</si>
  <si>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</si>
  <si>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</si>
  <si>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</si>
  <si>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</si>
  <si>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</si>
  <si>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</si>
  <si>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</si>
  <si>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</si>
  <si>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</si>
  <si>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</si>
  <si>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</si>
  <si>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</si>
  <si>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</si>
  <si>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</si>
  <si>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</si>
  <si>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</si>
  <si>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</si>
  <si>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</si>
  <si>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</si>
  <si>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</si>
  <si>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</si>
  <si>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</si>
  <si>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</si>
  <si>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</si>
  <si>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</si>
  <si>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</si>
  <si>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</si>
  <si>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</si>
  <si>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</si>
  <si>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</si>
  <si>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</si>
  <si>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</si>
  <si>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</si>
  <si>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</si>
  <si>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</si>
  <si>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</si>
  <si>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</si>
  <si>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</si>
  <si>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</si>
  <si>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</si>
  <si>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</si>
  <si>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</si>
  <si>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</si>
  <si>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</si>
  <si>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</si>
  <si>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</si>
  <si>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</si>
  <si>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</si>
  <si>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</si>
  <si>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</si>
  <si>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</si>
  <si>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</si>
  <si>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</si>
  <si>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</si>
  <si>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</si>
  <si>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</si>
  <si>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</si>
  <si>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</si>
  <si>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</si>
  <si>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</si>
  <si>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</si>
  <si>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</si>
  <si>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</si>
  <si>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</si>
  <si>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</si>
  <si>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</si>
  <si>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</si>
  <si>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</si>
  <si>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</si>
  <si>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</si>
  <si>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</si>
  <si>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</si>
  <si>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</si>
  <si>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</si>
  <si>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</si>
  <si>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</si>
  <si>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</si>
  <si>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</si>
  <si>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</si>
  <si>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</si>
  <si>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</si>
  <si>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</si>
  <si>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</si>
  <si>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</si>
  <si>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</si>
  <si>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</si>
  <si>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</si>
  <si>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</si>
  <si>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</si>
  <si>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</si>
  <si>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</si>
  <si>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</si>
  <si>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</si>
  <si>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</si>
  <si>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</si>
  <si>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</si>
  <si>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</si>
  <si>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</si>
  <si>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</si>
  <si>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</si>
  <si>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</si>
  <si>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</si>
  <si>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</si>
  <si>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</si>
  <si>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</si>
  <si>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</si>
  <si>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</si>
  <si>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</si>
  <si>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</si>
  <si>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</si>
  <si>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</si>
  <si>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</si>
  <si>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</si>
  <si>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</si>
  <si>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</si>
  <si>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</si>
  <si>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</si>
  <si>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</si>
  <si>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</si>
  <si>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</si>
  <si>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</si>
  <si>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</si>
  <si>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</si>
  <si>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</si>
  <si>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</si>
  <si>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</si>
  <si>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</si>
  <si>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</si>
  <si>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</si>
  <si>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</si>
  <si>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</si>
  <si>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</si>
  <si>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</si>
  <si>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</si>
  <si>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</si>
  <si>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</si>
  <si>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</si>
  <si>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</si>
  <si>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</si>
  <si>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</si>
  <si>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</si>
  <si>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</si>
  <si>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</si>
  <si>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</si>
  <si>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</si>
  <si>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</si>
  <si>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</si>
  <si>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</si>
  <si>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</si>
  <si>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</si>
  <si>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</si>
  <si>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</si>
  <si>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</si>
  <si>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</si>
  <si>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</si>
  <si>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</si>
  <si>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</si>
  <si>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</si>
  <si>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</si>
  <si>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</si>
  <si>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</si>
  <si>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</si>
  <si>
    <t>KGA Testgarten</t>
  </si>
  <si>
    <t>Parzelle 42</t>
  </si>
  <si>
    <t>Rosenweg</t>
  </si>
  <si>
    <t>Erika Musterfrau</t>
  </si>
  <si>
    <t>Bezirksverband Beispielstadt</t>
  </si>
  <si>
    <t>Hans Vorstand</t>
  </si>
  <si>
    <t>Bert Bauer</t>
  </si>
  <si>
    <t>2026-007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</si>
</sst>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4">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292">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_rels/drawing9.xml.rels><?xml version="1.0" encoding="UTF-8" standalone="yes"?>
<Relationships xmlns="http://schemas.openxmlformats.org/package/2006/relationships"><Relationship Id="rId1" Type="http://schemas.openxmlformats.org/officeDocument/2006/relationships/image" Target="../media/wep-skizze-form1.png"/><Relationship Id="rId2" Type="http://schemas.openxmlformats.org/officeDocument/2006/relationships/image" Target="../media/wep-skizze-form1.svg"/><Relationship Id="rId3" Type="http://schemas.openxmlformats.org/officeDocument/2006/relationships/image" Target="../media/wep-skizze-form2.png"/><Relationship Id="rId4" Type="http://schemas.openxmlformats.org/officeDocument/2006/relationships/image" Target="../media/wep-skizze-form2.svg"/><Relationship Id="rId5" Type="http://schemas.openxmlformats.org/officeDocument/2006/relationships/image" Target="../media/wep-skizze-form3.png"/><Relationship Id="rId6" Type="http://schemas.openxmlformats.org/officeDocument/2006/relationships/image" Target="../media/wep-skizze-form3.svg"/><Relationship Id="rId7" Type="http://schemas.openxmlformats.org/officeDocument/2006/relationships/image" Target="../media/wep-skizze-form4.png"/><Relationship Id="rId8" Type="http://schemas.openxmlformats.org/officeDocument/2006/relationships/image" Target="../media/wep-skizze-form4.sv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1</xdr:col>
      <xdr:colOff>98425</xdr:colOff>
      <xdr:row>6</xdr:row>
      <xdr:rowOff>63500</xdr:rowOff>
    </xdr:from>
    <xdr:to>
      <xdr:col>6</xdr:col>
      <xdr:colOff>673100</xdr:colOff>
      <xdr:row>47</xdr:row>
      <xdr:rowOff>63500</xdr:rowOff>
    </xdr:to>
    <xdr:sp macro="" textlink="">
      <xdr:nvSpPr>
        <xdr:cNvPr id="10" name="Rechteck 3"/>
        <xdr:cNvSpPr/>
      </xdr:nvSpPr>
      <xdr:spPr>
        <a:xfrm>
          <a:off x="279400" y="1282700"/>
          <a:ext cx="5651500" cy="7810500"/>
        </a:xfrm>
        <a:prstGeom prst="rect">
          <a:avLst/>
        </a:prstGeom>
        <a:solidFill>
          <a:srgbClr val="E2F0D9"/>
        </a:solidFill>
        <a:ln w="12700">
          <a:solidFill>
            <a:srgbClr val="595959"/>
          </a:solidFill>
        </a:ln>
      </xdr:spPr>
      <xdr:txBody>
        <a:bodyPr vertOverflow="clip" horzOverflow="clip" rtlCol="0" anchor="ctr"/>
        <a:lstStyle/>
        <a:p>
          <a:endParaRPr lang="de-DE" sz="1100"/>
        </a:p>
      </xdr:txBody>
    </xdr:sp>
    <xdr:clientData/>
  </xdr:twoCellAnchor>
  <xdr:twoCellAnchor>
    <xdr:from>
      <xdr:col>1</xdr:col>
      <xdr:colOff>66675</xdr:colOff>
      <xdr:row>6</xdr:row>
      <xdr:rowOff>31750</xdr:rowOff>
    </xdr:from>
    <xdr:to>
      <xdr:col>1</xdr:col>
      <xdr:colOff>130175</xdr:colOff>
      <xdr:row>6</xdr:row>
      <xdr:rowOff>95250</xdr:rowOff>
    </xdr:to>
    <xdr:sp macro="" textlink="">
      <xdr:nvSpPr>
        <xdr:cNvPr id="11" name="Rechteck 10"/>
        <xdr:cNvSpPr/>
      </xdr:nvSpPr>
      <xdr:spPr>
        <a:xfrm>
          <a:off x="247650" y="12509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3</xdr:col>
      <xdr:colOff>1238250</xdr:colOff>
      <xdr:row>6</xdr:row>
      <xdr:rowOff>31750</xdr:rowOff>
    </xdr:from>
    <xdr:to>
      <xdr:col>3</xdr:col>
      <xdr:colOff>1301750</xdr:colOff>
      <xdr:row>6</xdr:row>
      <xdr:rowOff>95250</xdr:rowOff>
    </xdr:to>
    <xdr:sp macro="" textlink="">
      <xdr:nvSpPr>
        <xdr:cNvPr id="12" name="Rechteck 11"/>
        <xdr:cNvSpPr/>
      </xdr:nvSpPr>
      <xdr:spPr>
        <a:xfrm>
          <a:off x="3067050" y="12509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6</xdr:col>
      <xdr:colOff>641350</xdr:colOff>
      <xdr:row>6</xdr:row>
      <xdr:rowOff>31750</xdr:rowOff>
    </xdr:from>
    <xdr:to>
      <xdr:col>6</xdr:col>
      <xdr:colOff>704850</xdr:colOff>
      <xdr:row>6</xdr:row>
      <xdr:rowOff>95250</xdr:rowOff>
    </xdr:to>
    <xdr:sp macro="" textlink="">
      <xdr:nvSpPr>
        <xdr:cNvPr id="13" name="Rechteck 12"/>
        <xdr:cNvSpPr/>
      </xdr:nvSpPr>
      <xdr:spPr>
        <a:xfrm>
          <a:off x="5899150" y="12509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1</xdr:col>
      <xdr:colOff>66675</xdr:colOff>
      <xdr:row>26</xdr:row>
      <xdr:rowOff>120650</xdr:rowOff>
    </xdr:from>
    <xdr:to>
      <xdr:col>1</xdr:col>
      <xdr:colOff>130175</xdr:colOff>
      <xdr:row>26</xdr:row>
      <xdr:rowOff>184150</xdr:rowOff>
    </xdr:to>
    <xdr:sp macro="" textlink="">
      <xdr:nvSpPr>
        <xdr:cNvPr id="14" name="Rechteck 13"/>
        <xdr:cNvSpPr/>
      </xdr:nvSpPr>
      <xdr:spPr>
        <a:xfrm>
          <a:off x="247650" y="51498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6</xdr:col>
      <xdr:colOff>641350</xdr:colOff>
      <xdr:row>26</xdr:row>
      <xdr:rowOff>120650</xdr:rowOff>
    </xdr:from>
    <xdr:to>
      <xdr:col>6</xdr:col>
      <xdr:colOff>704850</xdr:colOff>
      <xdr:row>26</xdr:row>
      <xdr:rowOff>184150</xdr:rowOff>
    </xdr:to>
    <xdr:sp macro="" textlink="">
      <xdr:nvSpPr>
        <xdr:cNvPr id="15" name="Rechteck 14"/>
        <xdr:cNvSpPr/>
      </xdr:nvSpPr>
      <xdr:spPr>
        <a:xfrm>
          <a:off x="5899150" y="51498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1</xdr:col>
      <xdr:colOff>66675</xdr:colOff>
      <xdr:row>47</xdr:row>
      <xdr:rowOff>31750</xdr:rowOff>
    </xdr:from>
    <xdr:to>
      <xdr:col>1</xdr:col>
      <xdr:colOff>130175</xdr:colOff>
      <xdr:row>47</xdr:row>
      <xdr:rowOff>95250</xdr:rowOff>
    </xdr:to>
    <xdr:sp macro="" textlink="">
      <xdr:nvSpPr>
        <xdr:cNvPr id="16" name="Rechteck 15"/>
        <xdr:cNvSpPr/>
      </xdr:nvSpPr>
      <xdr:spPr>
        <a:xfrm>
          <a:off x="247650" y="90614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3</xdr:col>
      <xdr:colOff>1238250</xdr:colOff>
      <xdr:row>47</xdr:row>
      <xdr:rowOff>31750</xdr:rowOff>
    </xdr:from>
    <xdr:to>
      <xdr:col>3</xdr:col>
      <xdr:colOff>1301750</xdr:colOff>
      <xdr:row>47</xdr:row>
      <xdr:rowOff>95250</xdr:rowOff>
    </xdr:to>
    <xdr:sp macro="" textlink="">
      <xdr:nvSpPr>
        <xdr:cNvPr id="17" name="Rechteck 16"/>
        <xdr:cNvSpPr/>
      </xdr:nvSpPr>
      <xdr:spPr>
        <a:xfrm>
          <a:off x="3067050" y="90614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6</xdr:col>
      <xdr:colOff>641350</xdr:colOff>
      <xdr:row>47</xdr:row>
      <xdr:rowOff>31750</xdr:rowOff>
    </xdr:from>
    <xdr:to>
      <xdr:col>6</xdr:col>
      <xdr:colOff>704850</xdr:colOff>
      <xdr:row>47</xdr:row>
      <xdr:rowOff>95250</xdr:rowOff>
    </xdr:to>
    <xdr:sp macro="" textlink="">
      <xdr:nvSpPr>
        <xdr:cNvPr id="18" name="Rechteck 17"/>
        <xdr:cNvSpPr/>
      </xdr:nvSpPr>
      <xdr:spPr>
        <a:xfrm>
          <a:off x="5899150" y="90614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3</xdr:col>
      <xdr:colOff>76200</xdr:colOff>
      <xdr:row>10</xdr:row>
      <xdr:rowOff>177800</xdr:rowOff>
    </xdr:from>
    <xdr:to>
      <xdr:col>4</xdr:col>
      <xdr:colOff>250825</xdr:colOff>
      <xdr:row>18</xdr:row>
      <xdr:rowOff>177800</xdr:rowOff>
    </xdr:to>
    <xdr:sp macro="" textlink="">
      <xdr:nvSpPr>
        <xdr:cNvPr id="19" name="Rechteck 20"/>
        <xdr:cNvSpPr/>
      </xdr:nvSpPr>
      <xdr:spPr>
        <a:xfrm>
          <a:off x="1905000" y="2159000"/>
          <a:ext cx="2032000" cy="1524000"/>
        </a:xfrm>
        <a:prstGeom prst="rect">
          <a:avLst/>
        </a:prstGeom>
        <a:solidFill>
          <a:srgbClr val="E7E6E6"/>
        </a:solidFill>
        <a:ln w="12700">
          <a:solidFill>
            <a:srgbClr val="262626"/>
          </a:solidFill>
        </a:ln>
      </xdr:spPr>
      <xdr:txBody>
        <a:bodyPr vertOverflow="clip" horzOverflow="clip" rtlCol="0" anchor="ctr"/>
        <a:lstStyle/>
        <a:p>
          <a:pPr algn="ctr"/>
          <a:r>
            <a:rPr lang="de-DE" sz="1100"/>
            <a:t>L</a:t>
          </a:r>
        </a:p>
      </xdr:txBody>
    </xdr:sp>
    <xdr:clientData/>
  </xdr:twoCellAnchor>
  <xdr:twoCellAnchor>
    <xdr:from>
      <xdr:col>2</xdr:col>
      <xdr:colOff>152400</xdr:colOff>
      <xdr:row>12</xdr:row>
      <xdr:rowOff>177800</xdr:rowOff>
    </xdr:from>
    <xdr:to>
      <xdr:col>3</xdr:col>
      <xdr:colOff>76200</xdr:colOff>
      <xdr:row>17</xdr:row>
      <xdr:rowOff>114300</xdr:rowOff>
    </xdr:to>
    <xdr:sp macro="" textlink="">
      <xdr:nvSpPr>
        <xdr:cNvPr id="20" name="Rechteck 21"/>
        <xdr:cNvSpPr/>
      </xdr:nvSpPr>
      <xdr:spPr>
        <a:xfrm>
          <a:off x="762000" y="2540000"/>
          <a:ext cx="1143000" cy="889000"/>
        </a:xfrm>
        <a:prstGeom prst="rect">
          <a:avLst/>
        </a:prstGeom>
        <a:solidFill>
          <a:srgbClr val="E7E6E6"/>
        </a:solidFill>
        <a:ln w="12700">
          <a:solidFill>
            <a:srgbClr val="262626"/>
          </a:solidFill>
        </a:ln>
      </xdr:spPr>
      <xdr:txBody>
        <a:bodyPr vertOverflow="clip" horzOverflow="clip" rtlCol="0" anchor="ctr"/>
        <a:lstStyle/>
        <a:p>
          <a:pPr algn="ctr"/>
          <a:r>
            <a:rPr lang="de-DE" sz="1100"/>
            <a:t>S1</a:t>
          </a:r>
        </a:p>
      </xdr:txBody>
    </xdr:sp>
    <xdr:clientData/>
  </xdr:twoCellAnchor>
  <xdr:twoCellAnchor>
    <xdr:from>
      <xdr:col>3</xdr:col>
      <xdr:colOff>76200</xdr:colOff>
      <xdr:row>18</xdr:row>
      <xdr:rowOff>177800</xdr:rowOff>
    </xdr:from>
    <xdr:to>
      <xdr:col>4</xdr:col>
      <xdr:colOff>250825</xdr:colOff>
      <xdr:row>22</xdr:row>
      <xdr:rowOff>177800</xdr:rowOff>
    </xdr:to>
    <xdr:sp macro="" textlink="">
      <xdr:nvSpPr>
        <xdr:cNvPr id="21" name="Rechteck 22"/>
        <xdr:cNvSpPr/>
      </xdr:nvSpPr>
      <xdr:spPr>
        <a:xfrm>
          <a:off x="1905000" y="3683000"/>
          <a:ext cx="2032000" cy="762000"/>
        </a:xfrm>
        <a:prstGeom prst="rect">
          <a:avLst/>
        </a:prstGeom>
        <a:solidFill>
          <a:srgbClr val="E7E6E6"/>
        </a:solidFill>
        <a:ln w="12700">
          <a:solidFill>
            <a:srgbClr val="262626"/>
          </a:solidFill>
        </a:ln>
      </xdr:spPr>
      <xdr:txBody>
        <a:bodyPr vertOverflow="clip" horzOverflow="clip" rtlCol="0" anchor="ctr"/>
        <a:lstStyle/>
        <a:p>
          <a:pPr algn="ctr"/>
          <a:r>
            <a:rPr lang="de-DE" sz="1100"/>
            <a:t>LVP</a:t>
          </a:r>
        </a:p>
      </xdr:txBody>
    </xdr:sp>
    <xdr:clientData/>
  </xdr:twoCellAnchor>
  <xdr:twoCellAnchor>
    <xdr:from>
      <xdr:col>3</xdr:col>
      <xdr:colOff>330200</xdr:colOff>
      <xdr:row>12</xdr:row>
      <xdr:rowOff>50800</xdr:rowOff>
    </xdr:from>
    <xdr:to>
      <xdr:col>3</xdr:col>
      <xdr:colOff>1092200</xdr:colOff>
      <xdr:row>15</xdr:row>
      <xdr:rowOff>114300</xdr:rowOff>
    </xdr:to>
    <xdr:sp macro="" textlink="">
      <xdr:nvSpPr>
        <xdr:cNvPr id="22" name="K1_HW"/>
        <xdr:cNvSpPr/>
      </xdr:nvSpPr>
      <xdr:spPr>
        <a:xfrm>
          <a:off x="2159000" y="2413000"/>
          <a:ext cx="762000" cy="635000"/>
        </a:xfrm>
        <a:prstGeom prst="rect">
          <a:avLst/>
        </a:prstGeom>
        <a:noFill/>
        <a:ln w="12700">
          <a:solidFill>
            <a:srgbClr val="262626"/>
          </a:solidFill>
          <a:prstDash val="dash"/>
        </a:ln>
      </xdr:spPr>
      <xdr:txBody>
        <a:bodyPr vertOverflow="clip" horzOverflow="clip" rtlCol="0" anchor="ctr"/>
        <a:lstStyle/>
        <a:p>
          <a:pPr algn="ctr"/>
          <a:r>
            <a:rPr lang="de-DE" sz="1100"/>
            <a:t>K1 HW</a:t>
          </a:r>
        </a:p>
      </xdr:txBody>
    </xdr:sp>
    <xdr:clientData/>
  </xdr:twoCellAnchor>
  <xdr:twoCellAnchor>
    <xdr:from>
      <xdr:col>4</xdr:col>
      <xdr:colOff>250825</xdr:colOff>
      <xdr:row>10</xdr:row>
      <xdr:rowOff>177800</xdr:rowOff>
    </xdr:from>
    <xdr:to>
      <xdr:col>5</xdr:col>
      <xdr:colOff>469900</xdr:colOff>
      <xdr:row>20</xdr:row>
      <xdr:rowOff>177800</xdr:rowOff>
    </xdr:to>
    <xdr:sp macro="" textlink="">
      <xdr:nvSpPr>
        <xdr:cNvPr id="23" name="Freihandform 23"/>
        <xdr:cNvSpPr/>
      </xdr:nvSpPr>
      <xdr:spPr>
        <a:xfrm>
          <a:off x="3937000" y="2159000"/>
          <a:ext cx="1143000" cy="1905000"/>
        </a:xfrm>
        <a:custGeom>
          <a:avLst/>
          <a:gdLst/>
          <a:ahLst/>
          <a:cxnLst/>
          <a:rect l="0" t="0" r="r" b="b"/>
          <a:pathLst>
            <a:path w="1143000" h="1905000">
              <a:moveTo>
                <a:pt x="0" y="0"/>
              </a:moveTo>
              <a:lnTo>
                <a:pt x="1143000" y="0"/>
              </a:lnTo>
              <a:lnTo>
                <a:pt x="1143000" y="1905000"/>
              </a:lnTo>
              <a:lnTo>
                <a:pt x="635000" y="1905000"/>
              </a:lnTo>
              <a:lnTo>
                <a:pt x="635000" y="762000"/>
              </a:lnTo>
              <a:lnTo>
                <a:pt x="0" y="762000"/>
              </a:lnTo>
              <a:close/>
            </a:path>
          </a:pathLst>
        </a:custGeom>
        <a:solidFill>
          <a:srgbClr val="E7E6E6"/>
        </a:solidFill>
        <a:ln w="12700">
          <a:solidFill>
            <a:srgbClr val="262626"/>
          </a:solidFill>
        </a:ln>
      </xdr:spPr>
      <xdr:txBody>
        <a:bodyPr vertOverflow="clip" horzOverflow="clip" rtlCol="0" anchor="ctr"/>
        <a:lstStyle/>
        <a:p>
          <a:pPr algn="ctr"/>
          <a:r>
            <a:rPr lang="de-DE" sz="1100"/>
            <a:t>A1</a:t>
          </a:r>
        </a:p>
      </xdr:txBody>
    </xdr:sp>
    <xdr:clientData/>
  </xdr:twoCellAnchor>
  <xdr:twoCellAnchor>
    <xdr:from>
      <xdr:col>4</xdr:col>
      <xdr:colOff>504825</xdr:colOff>
      <xdr:row>26</xdr:row>
      <xdr:rowOff>50800</xdr:rowOff>
    </xdr:from>
    <xdr:to>
      <xdr:col>6</xdr:col>
      <xdr:colOff>76200</xdr:colOff>
      <xdr:row>27</xdr:row>
      <xdr:rowOff>165100</xdr:rowOff>
    </xdr:to>
    <xdr:sp macro="" textlink="">
      <xdr:nvSpPr>
        <xdr:cNvPr id="24" name="TextBox 8"/>
        <xdr:cNvSpPr txBox="1"/>
      </xdr:nvSpPr>
      <xdr:spPr>
        <a:xfrm>
          <a:off x="4191000" y="5080000"/>
          <a:ext cx="1143000" cy="304800"/>
        </a:xfrm>
        <a:prstGeom prst="rect">
          <a:avLst/>
        </a:prstGeom>
        <a:noFill/>
        <a:ln>
          <a:noFill/>
        </a:ln>
      </xdr:spPr>
      <xdr:txBody>
        <a:bodyPr vertOverflow="clip" horzOverflow="clip" rtlCol="0" anchor="ctr"/>
        <a:lstStyle/>
        <a:p>
          <a:endParaRPr lang="de-DE" sz="1100"/>
        </a:p>
      </xdr:txBody>
    </xdr:sp>
    <xdr:clientData/>
  </xdr:twoCellAnchor>
  <xdr:twoCellAnchor>
    <xdr:from>
      <xdr:col>4</xdr:col>
      <xdr:colOff>123825</xdr:colOff>
      <xdr:row>28</xdr:row>
      <xdr:rowOff>177800</xdr:rowOff>
    </xdr:from>
    <xdr:to>
      <xdr:col>6</xdr:col>
      <xdr:colOff>76200</xdr:colOff>
      <xdr:row>30</xdr:row>
      <xdr:rowOff>101600</xdr:rowOff>
    </xdr:to>
    <xdr:sp macro="" textlink="">
      <xdr:nvSpPr>
        <xdr:cNvPr id="25" name="Textfeld 24"/>
        <xdr:cNvSpPr txBox="1"/>
      </xdr:nvSpPr>
      <xdr:spPr>
        <a:xfrm>
          <a:off x="3810000" y="5588000"/>
          <a:ext cx="1524000" cy="304800"/>
        </a:xfrm>
        <a:prstGeom prst="rect">
          <a:avLst/>
        </a:prstGeom>
        <a:noFill/>
        <a:ln>
          <a:noFill/>
        </a:ln>
      </xdr:spPr>
      <xdr:txBody>
        <a:bodyPr vertOverflow="clip" horzOverflow="clip" rtlCol="0" anchor="ctr"/>
        <a:lstStyle/>
        <a:p>
          <a:pPr algn="ctr"/>
          <a:r>
            <a:rPr lang="de-DE" sz="1100"/>
            <a:t>Zufahrt</a:t>
          </a:r>
        </a:p>
      </xdr:txBody>
    </xdr:sp>
    <xdr:clientData/>
  </xdr:twoCellAnchor>
  <xdr:twoCellAnchor>
    <xdr:from>
      <xdr:col>3</xdr:col>
      <xdr:colOff>76200</xdr:colOff>
      <xdr:row>9</xdr:row>
      <xdr:rowOff>177800</xdr:rowOff>
    </xdr:from>
    <xdr:to>
      <xdr:col>4</xdr:col>
      <xdr:colOff>250825</xdr:colOff>
      <xdr:row>9</xdr:row>
      <xdr:rowOff>177800</xdr:rowOff>
    </xdr:to>
    <xdr:cxnSp macro="">
      <xdr:nvCxnSpPr>
        <xdr:cNvPr id="26" name="Gerader Verbinder 25"/>
        <xdr:cNvCxnSpPr/>
      </xdr:nvCxnSpPr>
      <xdr:spPr>
        <a:xfrm>
          <a:off x="1905000" y="1968500"/>
          <a:ext cx="2032000" cy="0"/>
        </a:xfrm>
        <a:prstGeom prst="straightConnector1">
          <a:avLst/>
        </a:prstGeom>
        <a:ln w="12700">
          <a:solidFill>
            <a:srgbClr val="C00000"/>
          </a:solidFill>
        </a:ln>
      </xdr:spPr>
    </xdr:cxnSp>
    <xdr:clientData/>
  </xdr:twoCellAnchor>
  <xdr:twoCellAnchor>
    <xdr:from>
      <xdr:col>3</xdr:col>
      <xdr:colOff>711200</xdr:colOff>
      <xdr:row>8</xdr:row>
      <xdr:rowOff>114300</xdr:rowOff>
    </xdr:from>
    <xdr:to>
      <xdr:col>3</xdr:col>
      <xdr:colOff>1473200</xdr:colOff>
      <xdr:row>9</xdr:row>
      <xdr:rowOff>177800</xdr:rowOff>
    </xdr:to>
    <xdr:sp macro="" textlink="">
      <xdr:nvSpPr>
        <xdr:cNvPr id="27" name="Textfeld 26"/>
        <xdr:cNvSpPr txBox="1"/>
      </xdr:nvSpPr>
      <xdr:spPr>
        <a:xfrm>
          <a:off x="2540000" y="1714500"/>
          <a:ext cx="762000" cy="254000"/>
        </a:xfrm>
        <a:prstGeom prst="rect">
          <a:avLst/>
        </a:prstGeom>
        <a:noFill/>
        <a:ln>
          <a:noFill/>
        </a:ln>
      </xdr:spPr>
      <xdr:txBody>
        <a:bodyPr vertOverflow="clip" horzOverflow="clip" rtlCol="0" anchor="ctr"/>
        <a:lstStyle/>
        <a:p>
          <a:pPr algn="ctr"/>
          <a:r>
            <a:rPr lang="de-DE" sz="1100"/>
            <a:t>4 m</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2" name="Textfeld 1">
          <a:extLst>
            <a:ext uri="{FF2B5EF4-FFF2-40B4-BE49-F238E27FC236}">
              <a16:creationId xmlns:a16="http://schemas.microsoft.com/office/drawing/2014/main" id="{00000000-0008-0000-1200-000002000000}"/>
            </a:ext>
          </a:extLst>
        </xdr:cNvPr>
        <xdr:cNvSpPr txBox="1"/>
      </xdr:nvSpPr>
      <xdr:spPr>
        <a:xfrm>
          <a:off x="4739640" y="2392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editAs="oneCell">
    <xdr:from>
      <xdr:col>1</xdr:col>
      <xdr:colOff>98739</xdr:colOff>
      <xdr:row>6</xdr:row>
      <xdr:rowOff>63850</xdr:rowOff>
    </xdr:from>
    <xdr:to>
      <xdr:col>6</xdr:col>
      <xdr:colOff>672740</xdr:colOff>
      <xdr:row>47</xdr:row>
      <xdr:rowOff>62477</xdr:rowOff>
    </xdr:to>
    <xdr:sp macro="" textlink="">
      <xdr:nvSpPr>
        <xdr:cNvPr id="3" name="Grundstück" descr="wep-app"/>
        <xdr:cNvSpPr/>
      </xdr:nvSpPr>
      <xdr:spPr>
        <a:xfrm>
          <a:off x="279714" y="1283050"/>
          <a:ext cx="5650826" cy="7809127"/>
        </a:xfrm>
        <a:prstGeom prst="rect">
          <a:avLst/>
        </a:prstGeom>
        <a:solidFill>
          <a:srgbClr val="C5E0B4"/>
        </a:solidFill>
        <a:ln w="12700">
          <a:solidFill>
            <a:srgbClr val="595959"/>
          </a:solidFill>
        </a:ln>
      </xdr:spPr>
    </xdr:sp>
    <xdr:clientData/>
  </xdr:twoCellAnchor>
  <xdr:twoCellAnchor editAs="oneCell">
    <xdr:from>
      <xdr:col>1</xdr:col>
      <xdr:colOff>98739</xdr:colOff>
      <xdr:row>6</xdr:row>
      <xdr:rowOff>63850</xdr:rowOff>
    </xdr:from>
    <xdr:to>
      <xdr:col>6</xdr:col>
      <xdr:colOff>672740</xdr:colOff>
      <xdr:row>47</xdr:row>
      <xdr:rowOff>62477</xdr:rowOff>
    </xdr:to>
    <xdr:pic>
      <xdr:nvPicPr>
        <xdr:cNvPr id="4" name="Gras" descr="wep-app"/>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9714" y="1283050"/>
          <a:ext cx="5650826" cy="7809127"/>
        </a:xfrm>
        <a:prstGeom prst="rect">
          <a:avLst/>
        </a:prstGeom>
      </xdr:spPr>
    </xdr:pic>
    <xdr:clientData/>
  </xdr:twoCellAnchor>
  <xdr:twoCellAnchor editAs="oneCell">
    <xdr:from>
      <xdr:col>1</xdr:col>
      <xdr:colOff>67154</xdr:colOff>
      <xdr:row>6</xdr:row>
      <xdr:rowOff>32265</xdr:rowOff>
    </xdr:from>
    <xdr:to>
      <xdr:col>1</xdr:col>
      <xdr:colOff>130324</xdr:colOff>
      <xdr:row>6</xdr:row>
      <xdr:rowOff>95435</xdr:rowOff>
    </xdr:to>
    <xdr:sp macro="" textlink="">
      <xdr:nvSpPr>
        <xdr:cNvPr id="5" name="Pfosten_0" descr="wep-app"/>
        <xdr:cNvSpPr/>
      </xdr:nvSpPr>
      <xdr:spPr>
        <a:xfrm>
          <a:off x="248129" y="1251465"/>
          <a:ext cx="63170" cy="63170"/>
        </a:xfrm>
        <a:prstGeom prst="rect">
          <a:avLst/>
        </a:prstGeom>
        <a:solidFill>
          <a:srgbClr val="FFFFFF"/>
        </a:solidFill>
        <a:ln w="9525">
          <a:solidFill>
            <a:srgbClr val="595959"/>
          </a:solidFill>
        </a:ln>
      </xdr:spPr>
    </xdr:sp>
    <xdr:clientData/>
  </xdr:twoCellAnchor>
  <xdr:twoCellAnchor editAs="oneCell">
    <xdr:from>
      <xdr:col>3</xdr:col>
      <xdr:colOff>1238042</xdr:colOff>
      <xdr:row>6</xdr:row>
      <xdr:rowOff>32265</xdr:rowOff>
    </xdr:from>
    <xdr:to>
      <xdr:col>3</xdr:col>
      <xdr:colOff>1302169</xdr:colOff>
      <xdr:row>6</xdr:row>
      <xdr:rowOff>95435</xdr:rowOff>
    </xdr:to>
    <xdr:sp macro="" textlink="">
      <xdr:nvSpPr>
        <xdr:cNvPr id="6" name="Pfosten_1" descr="wep-app"/>
        <xdr:cNvSpPr/>
      </xdr:nvSpPr>
      <xdr:spPr>
        <a:xfrm>
          <a:off x="3066842" y="1251465"/>
          <a:ext cx="64127" cy="63170"/>
        </a:xfrm>
        <a:prstGeom prst="rect">
          <a:avLst/>
        </a:prstGeom>
        <a:solidFill>
          <a:srgbClr val="FFFFFF"/>
        </a:solidFill>
        <a:ln w="9525">
          <a:solidFill>
            <a:srgbClr val="595959"/>
          </a:solidFill>
        </a:ln>
      </xdr:spPr>
    </xdr:sp>
    <xdr:clientData/>
  </xdr:twoCellAnchor>
  <xdr:twoCellAnchor editAs="oneCell">
    <xdr:from>
      <xdr:col>6</xdr:col>
      <xdr:colOff>641155</xdr:colOff>
      <xdr:row>6</xdr:row>
      <xdr:rowOff>32265</xdr:rowOff>
    </xdr:from>
    <xdr:to>
      <xdr:col>6</xdr:col>
      <xdr:colOff>704325</xdr:colOff>
      <xdr:row>6</xdr:row>
      <xdr:rowOff>95435</xdr:rowOff>
    </xdr:to>
    <xdr:sp macro="" textlink="">
      <xdr:nvSpPr>
        <xdr:cNvPr id="7" name="Pfosten_2" descr="wep-app"/>
        <xdr:cNvSpPr/>
      </xdr:nvSpPr>
      <xdr:spPr>
        <a:xfrm>
          <a:off x="5898955" y="1251465"/>
          <a:ext cx="63170" cy="63170"/>
        </a:xfrm>
        <a:prstGeom prst="rect">
          <a:avLst/>
        </a:prstGeom>
        <a:solidFill>
          <a:srgbClr val="FFFFFF"/>
        </a:solidFill>
        <a:ln w="9525">
          <a:solidFill>
            <a:srgbClr val="595959"/>
          </a:solidFill>
        </a:ln>
      </xdr:spPr>
    </xdr:sp>
    <xdr:clientData/>
  </xdr:twoCellAnchor>
  <xdr:twoCellAnchor editAs="oneCell">
    <xdr:from>
      <xdr:col>1</xdr:col>
      <xdr:colOff>67154</xdr:colOff>
      <xdr:row>26</xdr:row>
      <xdr:rowOff>120607</xdr:rowOff>
    </xdr:from>
    <xdr:to>
      <xdr:col>1</xdr:col>
      <xdr:colOff>130324</xdr:colOff>
      <xdr:row>26</xdr:row>
      <xdr:rowOff>183777</xdr:rowOff>
    </xdr:to>
    <xdr:sp macro="" textlink="">
      <xdr:nvSpPr>
        <xdr:cNvPr id="8" name="Pfosten_3" descr="wep-app"/>
        <xdr:cNvSpPr/>
      </xdr:nvSpPr>
      <xdr:spPr>
        <a:xfrm>
          <a:off x="248129" y="5149807"/>
          <a:ext cx="63170" cy="63170"/>
        </a:xfrm>
        <a:prstGeom prst="rect">
          <a:avLst/>
        </a:prstGeom>
        <a:solidFill>
          <a:srgbClr val="FFFFFF"/>
        </a:solidFill>
        <a:ln w="9525">
          <a:solidFill>
            <a:srgbClr val="595959"/>
          </a:solidFill>
        </a:ln>
      </xdr:spPr>
    </xdr:sp>
    <xdr:clientData/>
  </xdr:twoCellAnchor>
  <xdr:twoCellAnchor editAs="oneCell">
    <xdr:from>
      <xdr:col>6</xdr:col>
      <xdr:colOff>641155</xdr:colOff>
      <xdr:row>26</xdr:row>
      <xdr:rowOff>120607</xdr:rowOff>
    </xdr:from>
    <xdr:to>
      <xdr:col>6</xdr:col>
      <xdr:colOff>704325</xdr:colOff>
      <xdr:row>26</xdr:row>
      <xdr:rowOff>183777</xdr:rowOff>
    </xdr:to>
    <xdr:sp macro="" textlink="">
      <xdr:nvSpPr>
        <xdr:cNvPr id="9" name="Pfosten_4" descr="wep-app"/>
        <xdr:cNvSpPr/>
      </xdr:nvSpPr>
      <xdr:spPr>
        <a:xfrm>
          <a:off x="5898955" y="5149807"/>
          <a:ext cx="63170" cy="63170"/>
        </a:xfrm>
        <a:prstGeom prst="rect">
          <a:avLst/>
        </a:prstGeom>
        <a:solidFill>
          <a:srgbClr val="FFFFFF"/>
        </a:solidFill>
        <a:ln w="9525">
          <a:solidFill>
            <a:srgbClr val="595959"/>
          </a:solidFill>
        </a:ln>
      </xdr:spPr>
    </xdr:sp>
    <xdr:clientData/>
  </xdr:twoCellAnchor>
  <xdr:twoCellAnchor editAs="oneCell">
    <xdr:from>
      <xdr:col>1</xdr:col>
      <xdr:colOff>67154</xdr:colOff>
      <xdr:row>47</xdr:row>
      <xdr:rowOff>30892</xdr:rowOff>
    </xdr:from>
    <xdr:to>
      <xdr:col>1</xdr:col>
      <xdr:colOff>130324</xdr:colOff>
      <xdr:row>47</xdr:row>
      <xdr:rowOff>95019</xdr:rowOff>
    </xdr:to>
    <xdr:sp macro="" textlink="">
      <xdr:nvSpPr>
        <xdr:cNvPr id="10" name="Pfosten_5" descr="wep-app"/>
        <xdr:cNvSpPr/>
      </xdr:nvSpPr>
      <xdr:spPr>
        <a:xfrm>
          <a:off x="248129" y="9060592"/>
          <a:ext cx="63170" cy="64127"/>
        </a:xfrm>
        <a:prstGeom prst="rect">
          <a:avLst/>
        </a:prstGeom>
        <a:solidFill>
          <a:srgbClr val="FFFFFF"/>
        </a:solidFill>
        <a:ln w="9525">
          <a:solidFill>
            <a:srgbClr val="595959"/>
          </a:solidFill>
        </a:ln>
      </xdr:spPr>
    </xdr:sp>
    <xdr:clientData/>
  </xdr:twoCellAnchor>
  <xdr:twoCellAnchor editAs="oneCell">
    <xdr:from>
      <xdr:col>3</xdr:col>
      <xdr:colOff>1238042</xdr:colOff>
      <xdr:row>47</xdr:row>
      <xdr:rowOff>30892</xdr:rowOff>
    </xdr:from>
    <xdr:to>
      <xdr:col>3</xdr:col>
      <xdr:colOff>1302169</xdr:colOff>
      <xdr:row>47</xdr:row>
      <xdr:rowOff>95019</xdr:rowOff>
    </xdr:to>
    <xdr:sp macro="" textlink="">
      <xdr:nvSpPr>
        <xdr:cNvPr id="11" name="Pfosten_6" descr="wep-app"/>
        <xdr:cNvSpPr/>
      </xdr:nvSpPr>
      <xdr:spPr>
        <a:xfrm>
          <a:off x="3066842" y="9060592"/>
          <a:ext cx="64127" cy="64127"/>
        </a:xfrm>
        <a:prstGeom prst="rect">
          <a:avLst/>
        </a:prstGeom>
        <a:solidFill>
          <a:srgbClr val="FFFFFF"/>
        </a:solidFill>
        <a:ln w="9525">
          <a:solidFill>
            <a:srgbClr val="595959"/>
          </a:solidFill>
        </a:ln>
      </xdr:spPr>
    </xdr:sp>
    <xdr:clientData/>
  </xdr:twoCellAnchor>
  <xdr:twoCellAnchor editAs="oneCell">
    <xdr:from>
      <xdr:col>6</xdr:col>
      <xdr:colOff>641155</xdr:colOff>
      <xdr:row>47</xdr:row>
      <xdr:rowOff>30892</xdr:rowOff>
    </xdr:from>
    <xdr:to>
      <xdr:col>6</xdr:col>
      <xdr:colOff>704325</xdr:colOff>
      <xdr:row>47</xdr:row>
      <xdr:rowOff>95019</xdr:rowOff>
    </xdr:to>
    <xdr:sp macro="" textlink="">
      <xdr:nvSpPr>
        <xdr:cNvPr id="12" name="Pfosten_7" descr="wep-app"/>
        <xdr:cNvSpPr/>
      </xdr:nvSpPr>
      <xdr:spPr>
        <a:xfrm>
          <a:off x="5898955" y="9060592"/>
          <a:ext cx="63170" cy="64127"/>
        </a:xfrm>
        <a:prstGeom prst="rect">
          <a:avLst/>
        </a:prstGeom>
        <a:solidFill>
          <a:srgbClr val="FFFFFF"/>
        </a:solidFill>
        <a:ln w="9525">
          <a:solidFill>
            <a:srgbClr val="595959"/>
          </a:solidFill>
        </a:ln>
      </xdr:spPr>
    </xdr:sp>
    <xdr:clientData/>
  </xdr:twoCellAnchor>
  <xdr:twoCellAnchor editAs="oneCell">
    <xdr:from>
      <xdr:col>3</xdr:col>
      <xdr:colOff>658986</xdr:colOff>
      <xdr:row>23</xdr:row>
      <xdr:rowOff>120708</xdr:rowOff>
    </xdr:from>
    <xdr:to>
      <xdr:col>3</xdr:col>
      <xdr:colOff>1233257</xdr:colOff>
      <xdr:row>44</xdr:row>
      <xdr:rowOff>187960</xdr:rowOff>
    </xdr:to>
    <xdr:sp macro="" textlink="">
      <xdr:nvSpPr>
        <xdr:cNvPr id="13" name="Weg_0" descr="wep-app"/>
        <xdr:cNvSpPr/>
      </xdr:nvSpPr>
      <xdr:spPr>
        <a:xfrm>
          <a:off x="2487786" y="4578408"/>
          <a:ext cx="574271" cy="4067752"/>
        </a:xfrm>
        <a:prstGeom prst="rect">
          <a:avLst/>
        </a:prstGeom>
        <a:solidFill>
          <a:srgbClr val="EDE4D3"/>
        </a:solidFill>
        <a:ln w="12700">
          <a:solidFill>
            <a:srgbClr val="A6A6A6"/>
          </a:solidFill>
        </a:ln>
      </xdr:spPr>
      <xdr:txBody>
        <a:bodyPr vertOverflow="clip" horzOverflow="clip" wrap="none" lIns="12700" tIns="0" rIns="12700" bIns="0" rtlCol="0" anchor="ctr"/>
        <a:lstStyle/>
        <a:p>
          <a:pPr algn="ctr"/>
          <a:r>
            <a:rPr lang="de-DE" sz="900">
              <a:solidFill>
                <a:srgbClr val="000000"/>
              </a:solidFill>
              <a:latin typeface="+mn-lt"/>
            </a:rPr>
            <a:t>Weg</a:t>
          </a:r>
        </a:p>
      </xdr:txBody>
    </xdr:sp>
    <xdr:clientData/>
  </xdr:twoCellAnchor>
  <xdr:twoCellAnchor editAs="oneCell">
    <xdr:from>
      <xdr:col>3</xdr:col>
      <xdr:colOff>658986</xdr:colOff>
      <xdr:row>44</xdr:row>
      <xdr:rowOff>187960</xdr:rowOff>
    </xdr:from>
    <xdr:to>
      <xdr:col>3</xdr:col>
      <xdr:colOff>1233257</xdr:colOff>
      <xdr:row>46</xdr:row>
      <xdr:rowOff>189807</xdr:rowOff>
    </xdr:to>
    <xdr:pic>
      <xdr:nvPicPr>
        <xdr:cNvPr id="14" name="Tor_0" descr="wep-app"/>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87786" y="8646160"/>
          <a:ext cx="574271" cy="382847"/>
        </a:xfrm>
        <a:prstGeom prst="rect">
          <a:avLst/>
        </a:prstGeom>
      </xdr:spPr>
    </xdr:pic>
    <xdr:clientData/>
  </xdr:twoCellAnchor>
  <xdr:twoCellAnchor editAs="oneCell">
    <xdr:from>
      <xdr:col>3</xdr:col>
      <xdr:colOff>76101</xdr:colOff>
      <xdr:row>10</xdr:row>
      <xdr:rowOff>178570</xdr:rowOff>
    </xdr:from>
    <xdr:to>
      <xdr:col>4</xdr:col>
      <xdr:colOff>250688</xdr:colOff>
      <xdr:row>18</xdr:row>
      <xdr:rowOff>178302</xdr:rowOff>
    </xdr:to>
    <xdr:sp macro="" textlink="">
      <xdr:nvSpPr>
        <xdr:cNvPr id="15" name="L" descr="wep-app"/>
        <xdr:cNvSpPr/>
      </xdr:nvSpPr>
      <xdr:spPr>
        <a:xfrm>
          <a:off x="1904901" y="2159770"/>
          <a:ext cx="2031962" cy="1523732"/>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L</a:t>
          </a:r>
        </a:p>
      </xdr:txBody>
    </xdr:sp>
    <xdr:clientData/>
  </xdr:twoCellAnchor>
  <xdr:twoCellAnchor editAs="oneCell">
    <xdr:from>
      <xdr:col>2</xdr:col>
      <xdr:colOff>152502</xdr:colOff>
      <xdr:row>12</xdr:row>
      <xdr:rowOff>178503</xdr:rowOff>
    </xdr:from>
    <xdr:to>
      <xdr:col>3</xdr:col>
      <xdr:colOff>76101</xdr:colOff>
      <xdr:row>17</xdr:row>
      <xdr:rowOff>114209</xdr:rowOff>
    </xdr:to>
    <xdr:sp macro="" textlink="">
      <xdr:nvSpPr>
        <xdr:cNvPr id="16" name="S1" descr="wep-app"/>
        <xdr:cNvSpPr/>
      </xdr:nvSpPr>
      <xdr:spPr>
        <a:xfrm>
          <a:off x="762102" y="2540703"/>
          <a:ext cx="1142799" cy="888206"/>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S1</a:t>
          </a:r>
        </a:p>
      </xdr:txBody>
    </xdr:sp>
    <xdr:clientData/>
  </xdr:twoCellAnchor>
  <xdr:twoCellAnchor editAs="oneCell">
    <xdr:from>
      <xdr:col>3</xdr:col>
      <xdr:colOff>76101</xdr:colOff>
      <xdr:row>18</xdr:row>
      <xdr:rowOff>178302</xdr:rowOff>
    </xdr:from>
    <xdr:to>
      <xdr:col>4</xdr:col>
      <xdr:colOff>250688</xdr:colOff>
      <xdr:row>22</xdr:row>
      <xdr:rowOff>178168</xdr:rowOff>
    </xdr:to>
    <xdr:sp macro="" textlink="">
      <xdr:nvSpPr>
        <xdr:cNvPr id="17" name="LVP" descr="wep-app"/>
        <xdr:cNvSpPr/>
      </xdr:nvSpPr>
      <xdr:spPr>
        <a:xfrm>
          <a:off x="1904901" y="3683502"/>
          <a:ext cx="2031962" cy="761866"/>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LVP</a:t>
          </a:r>
        </a:p>
      </xdr:txBody>
    </xdr:sp>
    <xdr:clientData/>
  </xdr:twoCellAnchor>
  <xdr:twoCellAnchor editAs="oneCell">
    <xdr:from>
      <xdr:col>3</xdr:col>
      <xdr:colOff>330694</xdr:colOff>
      <xdr:row>12</xdr:row>
      <xdr:rowOff>51206</xdr:rowOff>
    </xdr:from>
    <xdr:to>
      <xdr:col>3</xdr:col>
      <xdr:colOff>1092560</xdr:colOff>
      <xdr:row>15</xdr:row>
      <xdr:rowOff>114276</xdr:rowOff>
    </xdr:to>
    <xdr:sp macro="" textlink="">
      <xdr:nvSpPr>
        <xdr:cNvPr id="18" name="K1_HW" descr="wep-app"/>
        <xdr:cNvSpPr/>
      </xdr:nvSpPr>
      <xdr:spPr>
        <a:xfrm>
          <a:off x="2159494" y="2413406"/>
          <a:ext cx="761866" cy="634570"/>
        </a:xfrm>
        <a:prstGeom prst="rect">
          <a:avLst/>
        </a:prstGeom>
        <a:noFill/>
        <a:ln w="19050">
          <a:solidFill>
            <a:srgbClr val="262626"/>
          </a:solidFill>
          <a:prstDash val="dash"/>
        </a:ln>
      </xdr:spPr>
      <xdr:txBody>
        <a:bodyPr vertOverflow="clip" horzOverflow="clip" wrap="none" lIns="12700" tIns="0" rIns="12700" bIns="0" rtlCol="0" anchor="ctr"/>
        <a:lstStyle/>
        <a:p>
          <a:pPr algn="ctr"/>
          <a:r>
            <a:rPr lang="de-DE" sz="1100">
              <a:solidFill>
                <a:srgbClr val="000000"/>
              </a:solidFill>
              <a:latin typeface="+mn-lt"/>
            </a:rPr>
            <a:t>K1 HW</a:t>
          </a:r>
        </a:p>
      </xdr:txBody>
    </xdr:sp>
    <xdr:clientData/>
  </xdr:twoCellAnchor>
  <xdr:twoCellAnchor editAs="oneCell">
    <xdr:from>
      <xdr:col>4</xdr:col>
      <xdr:colOff>250688</xdr:colOff>
      <xdr:row>10</xdr:row>
      <xdr:rowOff>178570</xdr:rowOff>
    </xdr:from>
    <xdr:to>
      <xdr:col>5</xdr:col>
      <xdr:colOff>469562</xdr:colOff>
      <xdr:row>20</xdr:row>
      <xdr:rowOff>178235</xdr:rowOff>
    </xdr:to>
    <xdr:sp macro="" textlink="">
      <xdr:nvSpPr>
        <xdr:cNvPr id="19" name="A1" descr="wep-app"/>
        <xdr:cNvSpPr/>
      </xdr:nvSpPr>
      <xdr:spPr>
        <a:xfrm>
          <a:off x="3936863" y="2159770"/>
          <a:ext cx="1142799" cy="1904665"/>
        </a:xfrm>
        <a:custGeom>
          <a:avLst/>
          <a:gdLst/>
          <a:ahLst/>
          <a:cxnLst/>
          <a:rect l="l" t="t" r="r" b="b"/>
          <a:pathLst>
            <a:path w="1142799" h="1904665">
              <a:moveTo>
                <a:pt x="0" y="0"/>
              </a:moveTo>
              <a:lnTo>
                <a:pt x="1142799" y="0"/>
              </a:lnTo>
              <a:lnTo>
                <a:pt x="1142799" y="1904665"/>
              </a:lnTo>
              <a:lnTo>
                <a:pt x="634569" y="1904665"/>
              </a:lnTo>
              <a:lnTo>
                <a:pt x="634569" y="761866"/>
              </a:lnTo>
              <a:lnTo>
                <a:pt x="0" y="761866"/>
              </a:lnTo>
              <a:close/>
            </a:path>
          </a:pathLst>
        </a:custGeom>
        <a:solidFill>
          <a:srgbClr val="E7E6E6"/>
        </a:solidFill>
        <a:ln w="19050">
          <a:solidFill>
            <a:srgbClr val="262626"/>
          </a:solidFill>
        </a:ln>
      </xdr:spPr>
      <xdr:txBody>
        <a:bodyPr vertOverflow="overflow" horzOverflow="overflow" wrap="none" lIns="666251" tIns="659361" rIns="258108" bIns="1067504" rtlCol="0" anchor="ctr"/>
        <a:lstStyle/>
        <a:p>
          <a:pPr algn="ctr"/>
          <a:r>
            <a:rPr lang="de-DE" sz="1100">
              <a:solidFill>
                <a:srgbClr val="000000"/>
              </a:solidFill>
              <a:latin typeface="+mn-lt"/>
            </a:rPr>
            <a:t>A1</a:t>
          </a:r>
        </a:p>
      </xdr:txBody>
    </xdr:sp>
    <xdr:clientData/>
  </xdr:twoCellAnchor>
  <xdr:twoCellAnchor editAs="oneCell">
    <xdr:from>
      <xdr:col>3</xdr:col>
      <xdr:colOff>76382</xdr:colOff>
      <xdr:row>9</xdr:row>
      <xdr:rowOff>178291</xdr:rowOff>
    </xdr:from>
    <xdr:to>
      <xdr:col>4</xdr:col>
      <xdr:colOff>250700</xdr:colOff>
      <xdr:row>9</xdr:row>
      <xdr:rowOff>178291</xdr:rowOff>
    </xdr:to>
    <xdr:cxnSp macro="">
      <xdr:nvCxnSpPr>
        <xdr:cNvPr id="20" name="Linie_0" descr="wep-app"/>
        <xdr:cNvCxnSpPr/>
      </xdr:nvCxnSpPr>
      <xdr:spPr>
        <a:xfrm>
          <a:off x="1905182" y="1968991"/>
          <a:ext cx="2031693" cy="0"/>
        </a:xfrm>
        <a:prstGeom prst="straightConnector1">
          <a:avLst/>
        </a:prstGeom>
        <a:ln w="12700">
          <a:solidFill>
            <a:srgbClr val="262626"/>
          </a:solidFill>
        </a:ln>
      </xdr:spPr>
    </xdr:cxnSp>
    <xdr:clientData/>
  </xdr:twoCellAnchor>
  <xdr:twoCellAnchor editAs="oneCell">
    <xdr:from>
      <xdr:col>1</xdr:col>
      <xdr:colOff>310262</xdr:colOff>
      <xdr:row>25</xdr:row>
      <xdr:rowOff>74699</xdr:rowOff>
    </xdr:from>
    <xdr:to>
      <xdr:col>2</xdr:col>
      <xdr:colOff>168772</xdr:colOff>
      <xdr:row>26</xdr:row>
      <xdr:rowOff>171334</xdr:rowOff>
    </xdr:to>
    <xdr:sp macro="" textlink="">
      <xdr:nvSpPr>
        <xdr:cNvPr id="21" name="Fliederhecke_0_0" descr="wep-app"/>
        <xdr:cNvSpPr/>
      </xdr:nvSpPr>
      <xdr:spPr>
        <a:xfrm>
          <a:off x="491237" y="4913399"/>
          <a:ext cx="287135" cy="287135"/>
        </a:xfrm>
        <a:prstGeom prst="ellipse">
          <a:avLst/>
        </a:prstGeom>
        <a:solidFill>
          <a:srgbClr val="B4A7D6"/>
        </a:solidFill>
        <a:ln w="12700">
          <a:solidFill>
            <a:srgbClr val="7030A0"/>
          </a:solidFill>
        </a:ln>
      </xdr:spPr>
    </xdr:sp>
    <xdr:clientData/>
  </xdr:twoCellAnchor>
  <xdr:twoCellAnchor editAs="oneCell">
    <xdr:from>
      <xdr:col>1</xdr:col>
      <xdr:colOff>379174</xdr:colOff>
      <xdr:row>26</xdr:row>
      <xdr:rowOff>82985</xdr:rowOff>
    </xdr:from>
    <xdr:to>
      <xdr:col>2</xdr:col>
      <xdr:colOff>237684</xdr:colOff>
      <xdr:row>27</xdr:row>
      <xdr:rowOff>179620</xdr:rowOff>
    </xdr:to>
    <xdr:sp macro="" textlink="">
      <xdr:nvSpPr>
        <xdr:cNvPr id="22" name="Fliederhecke_0_1" descr="wep-app"/>
        <xdr:cNvSpPr/>
      </xdr:nvSpPr>
      <xdr:spPr>
        <a:xfrm>
          <a:off x="560149" y="5112185"/>
          <a:ext cx="287135" cy="287135"/>
        </a:xfrm>
        <a:prstGeom prst="ellipse">
          <a:avLst/>
        </a:prstGeom>
        <a:solidFill>
          <a:srgbClr val="B4A7D6"/>
        </a:solidFill>
        <a:ln w="12700">
          <a:solidFill>
            <a:srgbClr val="7030A0"/>
          </a:solidFill>
        </a:ln>
      </xdr:spPr>
    </xdr:sp>
    <xdr:clientData/>
  </xdr:twoCellAnchor>
  <xdr:twoCellAnchor editAs="oneCell">
    <xdr:from>
      <xdr:col>1</xdr:col>
      <xdr:colOff>310262</xdr:colOff>
      <xdr:row>27</xdr:row>
      <xdr:rowOff>91271</xdr:rowOff>
    </xdr:from>
    <xdr:to>
      <xdr:col>2</xdr:col>
      <xdr:colOff>168772</xdr:colOff>
      <xdr:row>28</xdr:row>
      <xdr:rowOff>187906</xdr:rowOff>
    </xdr:to>
    <xdr:sp macro="" textlink="">
      <xdr:nvSpPr>
        <xdr:cNvPr id="23" name="Fliederhecke_0_2" descr="wep-app"/>
        <xdr:cNvSpPr/>
      </xdr:nvSpPr>
      <xdr:spPr>
        <a:xfrm>
          <a:off x="491237" y="5310971"/>
          <a:ext cx="287135" cy="287135"/>
        </a:xfrm>
        <a:prstGeom prst="ellipse">
          <a:avLst/>
        </a:prstGeom>
        <a:solidFill>
          <a:srgbClr val="B4A7D6"/>
        </a:solidFill>
        <a:ln w="12700">
          <a:solidFill>
            <a:srgbClr val="7030A0"/>
          </a:solidFill>
        </a:ln>
      </xdr:spPr>
    </xdr:sp>
    <xdr:clientData/>
  </xdr:twoCellAnchor>
  <xdr:twoCellAnchor editAs="oneCell">
    <xdr:from>
      <xdr:col>1</xdr:col>
      <xdr:colOff>379174</xdr:colOff>
      <xdr:row>28</xdr:row>
      <xdr:rowOff>99557</xdr:rowOff>
    </xdr:from>
    <xdr:to>
      <xdr:col>2</xdr:col>
      <xdr:colOff>237684</xdr:colOff>
      <xdr:row>30</xdr:row>
      <xdr:rowOff>5692</xdr:rowOff>
    </xdr:to>
    <xdr:sp macro="" textlink="">
      <xdr:nvSpPr>
        <xdr:cNvPr id="24" name="Fliederhecke_0_3" descr="wep-app"/>
        <xdr:cNvSpPr/>
      </xdr:nvSpPr>
      <xdr:spPr>
        <a:xfrm>
          <a:off x="560149" y="5509757"/>
          <a:ext cx="287135" cy="287135"/>
        </a:xfrm>
        <a:prstGeom prst="ellipse">
          <a:avLst/>
        </a:prstGeom>
        <a:solidFill>
          <a:srgbClr val="B4A7D6"/>
        </a:solidFill>
        <a:ln w="12700">
          <a:solidFill>
            <a:srgbClr val="7030A0"/>
          </a:solidFill>
        </a:ln>
      </xdr:spPr>
    </xdr:sp>
    <xdr:clientData/>
  </xdr:twoCellAnchor>
  <xdr:twoCellAnchor editAs="oneCell">
    <xdr:from>
      <xdr:col>1</xdr:col>
      <xdr:colOff>310262</xdr:colOff>
      <xdr:row>29</xdr:row>
      <xdr:rowOff>107844</xdr:rowOff>
    </xdr:from>
    <xdr:to>
      <xdr:col>2</xdr:col>
      <xdr:colOff>168772</xdr:colOff>
      <xdr:row>31</xdr:row>
      <xdr:rowOff>13979</xdr:rowOff>
    </xdr:to>
    <xdr:sp macro="" textlink="">
      <xdr:nvSpPr>
        <xdr:cNvPr id="25" name="Fliederhecke_0_4" descr="wep-app"/>
        <xdr:cNvSpPr/>
      </xdr:nvSpPr>
      <xdr:spPr>
        <a:xfrm>
          <a:off x="491237" y="5708544"/>
          <a:ext cx="287135" cy="287135"/>
        </a:xfrm>
        <a:prstGeom prst="ellipse">
          <a:avLst/>
        </a:prstGeom>
        <a:solidFill>
          <a:srgbClr val="B4A7D6"/>
        </a:solidFill>
        <a:ln w="12700">
          <a:solidFill>
            <a:srgbClr val="7030A0"/>
          </a:solidFill>
        </a:ln>
      </xdr:spPr>
    </xdr:sp>
    <xdr:clientData/>
  </xdr:twoCellAnchor>
  <xdr:twoCellAnchor editAs="oneCell">
    <xdr:from>
      <xdr:col>1</xdr:col>
      <xdr:colOff>379174</xdr:colOff>
      <xdr:row>30</xdr:row>
      <xdr:rowOff>116130</xdr:rowOff>
    </xdr:from>
    <xdr:to>
      <xdr:col>2</xdr:col>
      <xdr:colOff>237684</xdr:colOff>
      <xdr:row>32</xdr:row>
      <xdr:rowOff>22265</xdr:rowOff>
    </xdr:to>
    <xdr:sp macro="" textlink="">
      <xdr:nvSpPr>
        <xdr:cNvPr id="26" name="Fliederhecke_0_5" descr="wep-app"/>
        <xdr:cNvSpPr/>
      </xdr:nvSpPr>
      <xdr:spPr>
        <a:xfrm>
          <a:off x="560149" y="5907330"/>
          <a:ext cx="287135" cy="287135"/>
        </a:xfrm>
        <a:prstGeom prst="ellipse">
          <a:avLst/>
        </a:prstGeom>
        <a:solidFill>
          <a:srgbClr val="B4A7D6"/>
        </a:solidFill>
        <a:ln w="12700">
          <a:solidFill>
            <a:srgbClr val="7030A0"/>
          </a:solidFill>
        </a:ln>
      </xdr:spPr>
    </xdr:sp>
    <xdr:clientData/>
  </xdr:twoCellAnchor>
  <xdr:twoCellAnchor editAs="oneCell">
    <xdr:from>
      <xdr:col>1</xdr:col>
      <xdr:colOff>310262</xdr:colOff>
      <xdr:row>31</xdr:row>
      <xdr:rowOff>124416</xdr:rowOff>
    </xdr:from>
    <xdr:to>
      <xdr:col>2</xdr:col>
      <xdr:colOff>168772</xdr:colOff>
      <xdr:row>33</xdr:row>
      <xdr:rowOff>30551</xdr:rowOff>
    </xdr:to>
    <xdr:sp macro="" textlink="">
      <xdr:nvSpPr>
        <xdr:cNvPr id="27" name="Fliederhecke_0_6" descr="wep-app"/>
        <xdr:cNvSpPr/>
      </xdr:nvSpPr>
      <xdr:spPr>
        <a:xfrm>
          <a:off x="491237" y="6106116"/>
          <a:ext cx="287135" cy="287135"/>
        </a:xfrm>
        <a:prstGeom prst="ellipse">
          <a:avLst/>
        </a:prstGeom>
        <a:solidFill>
          <a:srgbClr val="B4A7D6"/>
        </a:solidFill>
        <a:ln w="12700">
          <a:solidFill>
            <a:srgbClr val="7030A0"/>
          </a:solidFill>
        </a:ln>
      </xdr:spPr>
    </xdr:sp>
    <xdr:clientData/>
  </xdr:twoCellAnchor>
  <xdr:twoCellAnchor editAs="oneCell">
    <xdr:from>
      <xdr:col>1</xdr:col>
      <xdr:colOff>379174</xdr:colOff>
      <xdr:row>32</xdr:row>
      <xdr:rowOff>132702</xdr:rowOff>
    </xdr:from>
    <xdr:to>
      <xdr:col>2</xdr:col>
      <xdr:colOff>237684</xdr:colOff>
      <xdr:row>34</xdr:row>
      <xdr:rowOff>38837</xdr:rowOff>
    </xdr:to>
    <xdr:sp macro="" textlink="">
      <xdr:nvSpPr>
        <xdr:cNvPr id="28" name="Fliederhecke_0_7" descr="wep-app"/>
        <xdr:cNvSpPr/>
      </xdr:nvSpPr>
      <xdr:spPr>
        <a:xfrm>
          <a:off x="560149" y="6304902"/>
          <a:ext cx="287135" cy="287135"/>
        </a:xfrm>
        <a:prstGeom prst="ellipse">
          <a:avLst/>
        </a:prstGeom>
        <a:solidFill>
          <a:srgbClr val="B4A7D6"/>
        </a:solidFill>
        <a:ln w="12700">
          <a:solidFill>
            <a:srgbClr val="7030A0"/>
          </a:solidFill>
        </a:ln>
      </xdr:spPr>
    </xdr:sp>
    <xdr:clientData/>
  </xdr:twoCellAnchor>
  <xdr:twoCellAnchor editAs="oneCell">
    <xdr:from>
      <xdr:col>1</xdr:col>
      <xdr:colOff>310262</xdr:colOff>
      <xdr:row>33</xdr:row>
      <xdr:rowOff>140988</xdr:rowOff>
    </xdr:from>
    <xdr:to>
      <xdr:col>2</xdr:col>
      <xdr:colOff>168772</xdr:colOff>
      <xdr:row>35</xdr:row>
      <xdr:rowOff>47123</xdr:rowOff>
    </xdr:to>
    <xdr:sp macro="" textlink="">
      <xdr:nvSpPr>
        <xdr:cNvPr id="29" name="Fliederhecke_0_8" descr="wep-app"/>
        <xdr:cNvSpPr/>
      </xdr:nvSpPr>
      <xdr:spPr>
        <a:xfrm>
          <a:off x="491237" y="6503688"/>
          <a:ext cx="287135" cy="287135"/>
        </a:xfrm>
        <a:prstGeom prst="ellipse">
          <a:avLst/>
        </a:prstGeom>
        <a:solidFill>
          <a:srgbClr val="B4A7D6"/>
        </a:solidFill>
        <a:ln w="12700">
          <a:solidFill>
            <a:srgbClr val="7030A0"/>
          </a:solidFill>
        </a:ln>
      </xdr:spPr>
    </xdr:sp>
    <xdr:clientData/>
  </xdr:twoCellAnchor>
  <xdr:twoCellAnchor editAs="oneCell">
    <xdr:from>
      <xdr:col>1</xdr:col>
      <xdr:colOff>379174</xdr:colOff>
      <xdr:row>34</xdr:row>
      <xdr:rowOff>149274</xdr:rowOff>
    </xdr:from>
    <xdr:to>
      <xdr:col>2</xdr:col>
      <xdr:colOff>237684</xdr:colOff>
      <xdr:row>36</xdr:row>
      <xdr:rowOff>55409</xdr:rowOff>
    </xdr:to>
    <xdr:sp macro="" textlink="">
      <xdr:nvSpPr>
        <xdr:cNvPr id="30" name="Fliederhecke_0_9" descr="wep-app"/>
        <xdr:cNvSpPr/>
      </xdr:nvSpPr>
      <xdr:spPr>
        <a:xfrm>
          <a:off x="560149" y="6702474"/>
          <a:ext cx="287135" cy="287135"/>
        </a:xfrm>
        <a:prstGeom prst="ellipse">
          <a:avLst/>
        </a:prstGeom>
        <a:solidFill>
          <a:srgbClr val="B4A7D6"/>
        </a:solidFill>
        <a:ln w="12700">
          <a:solidFill>
            <a:srgbClr val="7030A0"/>
          </a:solidFill>
        </a:ln>
      </xdr:spPr>
    </xdr:sp>
    <xdr:clientData/>
  </xdr:twoCellAnchor>
  <xdr:twoCellAnchor editAs="oneCell">
    <xdr:from>
      <xdr:col>1</xdr:col>
      <xdr:colOff>310262</xdr:colOff>
      <xdr:row>35</xdr:row>
      <xdr:rowOff>157561</xdr:rowOff>
    </xdr:from>
    <xdr:to>
      <xdr:col>2</xdr:col>
      <xdr:colOff>168772</xdr:colOff>
      <xdr:row>37</xdr:row>
      <xdr:rowOff>63696</xdr:rowOff>
    </xdr:to>
    <xdr:sp macro="" textlink="">
      <xdr:nvSpPr>
        <xdr:cNvPr id="31" name="Fliederhecke_0_10" descr="wep-app"/>
        <xdr:cNvSpPr/>
      </xdr:nvSpPr>
      <xdr:spPr>
        <a:xfrm>
          <a:off x="491237" y="6901261"/>
          <a:ext cx="287135" cy="287135"/>
        </a:xfrm>
        <a:prstGeom prst="ellipse">
          <a:avLst/>
        </a:prstGeom>
        <a:solidFill>
          <a:srgbClr val="B4A7D6"/>
        </a:solidFill>
        <a:ln w="12700">
          <a:solidFill>
            <a:srgbClr val="7030A0"/>
          </a:solidFill>
        </a:ln>
      </xdr:spPr>
    </xdr:sp>
    <xdr:clientData/>
  </xdr:twoCellAnchor>
  <xdr:twoCellAnchor editAs="oneCell">
    <xdr:from>
      <xdr:col>1</xdr:col>
      <xdr:colOff>379174</xdr:colOff>
      <xdr:row>36</xdr:row>
      <xdr:rowOff>165847</xdr:rowOff>
    </xdr:from>
    <xdr:to>
      <xdr:col>2</xdr:col>
      <xdr:colOff>237684</xdr:colOff>
      <xdr:row>38</xdr:row>
      <xdr:rowOff>71982</xdr:rowOff>
    </xdr:to>
    <xdr:sp macro="" textlink="">
      <xdr:nvSpPr>
        <xdr:cNvPr id="32" name="Fliederhecke_0_11" descr="wep-app"/>
        <xdr:cNvSpPr/>
      </xdr:nvSpPr>
      <xdr:spPr>
        <a:xfrm>
          <a:off x="560149" y="7100047"/>
          <a:ext cx="287135" cy="287135"/>
        </a:xfrm>
        <a:prstGeom prst="ellipse">
          <a:avLst/>
        </a:prstGeom>
        <a:solidFill>
          <a:srgbClr val="B4A7D6"/>
        </a:solidFill>
        <a:ln w="12700">
          <a:solidFill>
            <a:srgbClr val="7030A0"/>
          </a:solidFill>
        </a:ln>
      </xdr:spPr>
    </xdr:sp>
    <xdr:clientData/>
  </xdr:twoCellAnchor>
  <xdr:twoCellAnchor editAs="oneCell">
    <xdr:from>
      <xdr:col>1</xdr:col>
      <xdr:colOff>310262</xdr:colOff>
      <xdr:row>37</xdr:row>
      <xdr:rowOff>174133</xdr:rowOff>
    </xdr:from>
    <xdr:to>
      <xdr:col>2</xdr:col>
      <xdr:colOff>168772</xdr:colOff>
      <xdr:row>39</xdr:row>
      <xdr:rowOff>80268</xdr:rowOff>
    </xdr:to>
    <xdr:sp macro="" textlink="">
      <xdr:nvSpPr>
        <xdr:cNvPr id="33" name="Fliederhecke_0_12" descr="wep-app"/>
        <xdr:cNvSpPr/>
      </xdr:nvSpPr>
      <xdr:spPr>
        <a:xfrm>
          <a:off x="491237" y="7298833"/>
          <a:ext cx="287135" cy="287135"/>
        </a:xfrm>
        <a:prstGeom prst="ellipse">
          <a:avLst/>
        </a:prstGeom>
        <a:solidFill>
          <a:srgbClr val="B4A7D6"/>
        </a:solidFill>
        <a:ln w="12700">
          <a:solidFill>
            <a:srgbClr val="7030A0"/>
          </a:solidFill>
        </a:ln>
      </xdr:spPr>
    </xdr:sp>
    <xdr:clientData/>
  </xdr:twoCellAnchor>
  <xdr:twoCellAnchor editAs="oneCell">
    <xdr:from>
      <xdr:col>1</xdr:col>
      <xdr:colOff>379174</xdr:colOff>
      <xdr:row>38</xdr:row>
      <xdr:rowOff>182419</xdr:rowOff>
    </xdr:from>
    <xdr:to>
      <xdr:col>2</xdr:col>
      <xdr:colOff>237684</xdr:colOff>
      <xdr:row>40</xdr:row>
      <xdr:rowOff>88554</xdr:rowOff>
    </xdr:to>
    <xdr:sp macro="" textlink="">
      <xdr:nvSpPr>
        <xdr:cNvPr id="34" name="Fliederhecke_0_13" descr="wep-app"/>
        <xdr:cNvSpPr/>
      </xdr:nvSpPr>
      <xdr:spPr>
        <a:xfrm>
          <a:off x="560149" y="7497619"/>
          <a:ext cx="287135" cy="287135"/>
        </a:xfrm>
        <a:prstGeom prst="ellipse">
          <a:avLst/>
        </a:prstGeom>
        <a:solidFill>
          <a:srgbClr val="B4A7D6"/>
        </a:solidFill>
        <a:ln w="12700">
          <a:solidFill>
            <a:srgbClr val="7030A0"/>
          </a:solidFill>
        </a:ln>
      </xdr:spPr>
    </xdr:sp>
    <xdr:clientData/>
  </xdr:twoCellAnchor>
  <xdr:twoCellAnchor editAs="oneCell">
    <xdr:from>
      <xdr:col>4</xdr:col>
      <xdr:colOff>859415</xdr:colOff>
      <xdr:row>35</xdr:row>
      <xdr:rowOff>83935</xdr:rowOff>
    </xdr:from>
    <xdr:to>
      <xdr:col>5</xdr:col>
      <xdr:colOff>414049</xdr:colOff>
      <xdr:row>38</xdr:row>
      <xdr:rowOff>105848</xdr:rowOff>
    </xdr:to>
    <xdr:pic>
      <xdr:nvPicPr>
        <xdr:cNvPr id="35" name="Apfel_0" descr="wep-app"/>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45590" y="6827635"/>
          <a:ext cx="478559" cy="593413"/>
        </a:xfrm>
        <a:prstGeom prst="rect">
          <a:avLst/>
        </a:prstGeom>
      </xdr:spPr>
    </xdr:pic>
    <xdr:clientData/>
  </xdr:twoCellAnchor>
  <xdr:twoCellAnchor editAs="oneCell">
    <xdr:from>
      <xdr:col>2</xdr:col>
      <xdr:colOff>11805</xdr:colOff>
      <xdr:row>7</xdr:row>
      <xdr:rowOff>105930</xdr:rowOff>
    </xdr:from>
    <xdr:to>
      <xdr:col>2</xdr:col>
      <xdr:colOff>547791</xdr:colOff>
      <xdr:row>11</xdr:row>
      <xdr:rowOff>13913</xdr:rowOff>
    </xdr:to>
    <xdr:pic>
      <xdr:nvPicPr>
        <xdr:cNvPr id="36" name="Bergahorn_0" descr="wep-app"/>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21405" y="1515630"/>
          <a:ext cx="535986" cy="669983"/>
        </a:xfrm>
        <a:prstGeom prst="rect">
          <a:avLst/>
        </a:prstGeom>
      </xdr:spPr>
    </xdr:pic>
    <xdr:clientData/>
  </xdr:twoCellAnchor>
  <xdr:twoCellAnchor editAs="oneCell">
    <xdr:from>
      <xdr:col>3</xdr:col>
      <xdr:colOff>1663960</xdr:colOff>
      <xdr:row>31</xdr:row>
      <xdr:rowOff>80241</xdr:rowOff>
    </xdr:from>
    <xdr:to>
      <xdr:col>4</xdr:col>
      <xdr:colOff>667991</xdr:colOff>
      <xdr:row>33</xdr:row>
      <xdr:rowOff>129944</xdr:rowOff>
    </xdr:to>
    <xdr:sp macro="" textlink="">
      <xdr:nvSpPr>
        <xdr:cNvPr id="37" name="Beet_0" descr="wep-app"/>
        <xdr:cNvSpPr/>
      </xdr:nvSpPr>
      <xdr:spPr>
        <a:xfrm>
          <a:off x="3492760" y="6061941"/>
          <a:ext cx="861406" cy="430703"/>
        </a:xfrm>
        <a:prstGeom prst="rect">
          <a:avLst/>
        </a:prstGeom>
        <a:solidFill>
          <a:srgbClr val="D9C3A5"/>
        </a:solidFill>
        <a:ln w="12700">
          <a:solidFill>
            <a:srgbClr val="8B5A2B"/>
          </a:solidFill>
        </a:ln>
      </xdr:spPr>
    </xdr:sp>
    <xdr:clientData/>
  </xdr:twoCellAnchor>
  <xdr:twoCellAnchor editAs="oneCell">
    <xdr:from>
      <xdr:col>5</xdr:col>
      <xdr:colOff>126913</xdr:colOff>
      <xdr:row>24</xdr:row>
      <xdr:rowOff>73775</xdr:rowOff>
    </xdr:from>
    <xdr:to>
      <xdr:col>6</xdr:col>
      <xdr:colOff>149196</xdr:colOff>
      <xdr:row>26</xdr:row>
      <xdr:rowOff>75622</xdr:rowOff>
    </xdr:to>
    <xdr:sp macro="" textlink="">
      <xdr:nvSpPr>
        <xdr:cNvPr id="38" name="Kompost_0" descr="wep-app"/>
        <xdr:cNvSpPr/>
      </xdr:nvSpPr>
      <xdr:spPr>
        <a:xfrm>
          <a:off x="4737013" y="4721975"/>
          <a:ext cx="669983" cy="382847"/>
        </a:xfrm>
        <a:prstGeom prst="rect">
          <a:avLst/>
        </a:prstGeom>
        <a:solidFill>
          <a:srgbClr val="D9C3A5"/>
        </a:solidFill>
        <a:ln w="12700">
          <a:solidFill>
            <a:srgbClr val="8B5A2B"/>
          </a:solidFill>
        </a:ln>
      </xdr:spPr>
    </xdr:sp>
    <xdr:clientData/>
  </xdr:twoCellAnchor>
  <xdr:twoCellAnchor editAs="oneCell">
    <xdr:from>
      <xdr:col>5</xdr:col>
      <xdr:colOff>278534</xdr:colOff>
      <xdr:row>24</xdr:row>
      <xdr:rowOff>86475</xdr:rowOff>
    </xdr:from>
    <xdr:to>
      <xdr:col>5</xdr:col>
      <xdr:colOff>310284</xdr:colOff>
      <xdr:row>26</xdr:row>
      <xdr:rowOff>62922</xdr:rowOff>
    </xdr:to>
    <xdr:sp macro="" textlink="">
      <xdr:nvSpPr>
        <xdr:cNvPr id="39" name="Kompost_0_Latte_0" descr="wep-app"/>
        <xdr:cNvSpPr/>
      </xdr:nvSpPr>
      <xdr:spPr>
        <a:xfrm>
          <a:off x="4888634" y="4734675"/>
          <a:ext cx="31750" cy="357447"/>
        </a:xfrm>
        <a:prstGeom prst="rect">
          <a:avLst/>
        </a:prstGeom>
        <a:solidFill>
          <a:srgbClr val="8B5A2B"/>
        </a:solidFill>
        <a:ln>
          <a:noFill/>
        </a:ln>
      </xdr:spPr>
    </xdr:sp>
    <xdr:clientData/>
  </xdr:twoCellAnchor>
  <xdr:twoCellAnchor editAs="oneCell">
    <xdr:from>
      <xdr:col>5</xdr:col>
      <xdr:colOff>446030</xdr:colOff>
      <xdr:row>24</xdr:row>
      <xdr:rowOff>86475</xdr:rowOff>
    </xdr:from>
    <xdr:to>
      <xdr:col>5</xdr:col>
      <xdr:colOff>477780</xdr:colOff>
      <xdr:row>26</xdr:row>
      <xdr:rowOff>62922</xdr:rowOff>
    </xdr:to>
    <xdr:sp macro="" textlink="">
      <xdr:nvSpPr>
        <xdr:cNvPr id="40" name="Kompost_0_Latte_1" descr="wep-app"/>
        <xdr:cNvSpPr/>
      </xdr:nvSpPr>
      <xdr:spPr>
        <a:xfrm>
          <a:off x="5056130" y="4734675"/>
          <a:ext cx="31750" cy="357447"/>
        </a:xfrm>
        <a:prstGeom prst="rect">
          <a:avLst/>
        </a:prstGeom>
        <a:solidFill>
          <a:srgbClr val="8B5A2B"/>
        </a:solidFill>
        <a:ln>
          <a:noFill/>
        </a:ln>
      </xdr:spPr>
    </xdr:sp>
    <xdr:clientData/>
  </xdr:twoCellAnchor>
  <xdr:twoCellAnchor editAs="oneCell">
    <xdr:from>
      <xdr:col>5</xdr:col>
      <xdr:colOff>613525</xdr:colOff>
      <xdr:row>24</xdr:row>
      <xdr:rowOff>86475</xdr:rowOff>
    </xdr:from>
    <xdr:to>
      <xdr:col>5</xdr:col>
      <xdr:colOff>645275</xdr:colOff>
      <xdr:row>26</xdr:row>
      <xdr:rowOff>62922</xdr:rowOff>
    </xdr:to>
    <xdr:sp macro="" textlink="">
      <xdr:nvSpPr>
        <xdr:cNvPr id="41" name="Kompost_0_Latte_2" descr="wep-app"/>
        <xdr:cNvSpPr/>
      </xdr:nvSpPr>
      <xdr:spPr>
        <a:xfrm>
          <a:off x="5223625" y="4734675"/>
          <a:ext cx="31750" cy="357447"/>
        </a:xfrm>
        <a:prstGeom prst="rect">
          <a:avLst/>
        </a:prstGeom>
        <a:solidFill>
          <a:srgbClr val="8B5A2B"/>
        </a:solidFill>
        <a:ln>
          <a:noFill/>
        </a:ln>
      </xdr:spPr>
    </xdr:sp>
    <xdr:clientData/>
  </xdr:twoCellAnchor>
  <xdr:twoCellAnchor editAs="oneCell">
    <xdr:from>
      <xdr:col>4</xdr:col>
      <xdr:colOff>645977</xdr:colOff>
      <xdr:row>29</xdr:row>
      <xdr:rowOff>62123</xdr:rowOff>
    </xdr:from>
    <xdr:to>
      <xdr:col>5</xdr:col>
      <xdr:colOff>312602</xdr:colOff>
      <xdr:row>30</xdr:row>
      <xdr:rowOff>74823</xdr:rowOff>
    </xdr:to>
    <xdr:sp macro="" textlink="">
      <xdr:nvSpPr>
        <xdr:cNvPr id="42" name="Text_0" descr="wep-app"/>
        <xdr:cNvSpPr txBox="1"/>
      </xdr:nvSpPr>
      <xdr:spPr>
        <a:xfrm>
          <a:off x="4332152" y="5662823"/>
          <a:ext cx="590550" cy="203200"/>
        </a:xfrm>
        <a:prstGeom prst="rect">
          <a:avLst/>
        </a:prstGeom>
        <a:noFill/>
        <a:ln>
          <a:noFill/>
        </a:ln>
      </xdr:spPr>
      <xdr:txBody>
        <a:bodyPr vertOverflow="clip" horzOverflow="clip" wrap="none" lIns="12700" tIns="0" rIns="12700" bIns="0" rtlCol="0" anchor="ctr"/>
        <a:lstStyle/>
        <a:p>
          <a:pPr algn="ctr"/>
          <a:r>
            <a:rPr lang="de-DE" sz="1000">
              <a:solidFill>
                <a:srgbClr val="000000"/>
              </a:solidFill>
              <a:latin typeface="+mn-lt"/>
            </a:rPr>
            <a:t>Zufahrt</a:t>
          </a:r>
        </a:p>
      </xdr:txBody>
    </xdr:sp>
    <xdr:clientData/>
  </xdr:twoCellAnchor>
  <xdr:twoCellAnchor editAs="oneCell">
    <xdr:from>
      <xdr:col>3</xdr:col>
      <xdr:colOff>989191</xdr:colOff>
      <xdr:row>8</xdr:row>
      <xdr:rowOff>164280</xdr:rowOff>
    </xdr:from>
    <xdr:to>
      <xdr:col>3</xdr:col>
      <xdr:colOff>1300341</xdr:colOff>
      <xdr:row>9</xdr:row>
      <xdr:rowOff>176980</xdr:rowOff>
    </xdr:to>
    <xdr:sp macro="" textlink="">
      <xdr:nvSpPr>
        <xdr:cNvPr id="43" name="Text_1" descr="wep-app"/>
        <xdr:cNvSpPr txBox="1"/>
      </xdr:nvSpPr>
      <xdr:spPr>
        <a:xfrm>
          <a:off x="2817991" y="1764480"/>
          <a:ext cx="311150" cy="203200"/>
        </a:xfrm>
        <a:prstGeom prst="rect">
          <a:avLst/>
        </a:prstGeom>
        <a:noFill/>
        <a:ln>
          <a:noFill/>
        </a:ln>
      </xdr:spPr>
      <xdr:txBody>
        <a:bodyPr vertOverflow="clip" horzOverflow="clip" wrap="none" lIns="12700" tIns="0" rIns="12700" bIns="0" rtlCol="0" anchor="ctr"/>
        <a:lstStyle/>
        <a:p>
          <a:pPr algn="ctr"/>
          <a:r>
            <a:rPr lang="de-DE" sz="1000">
              <a:solidFill>
                <a:srgbClr val="000000"/>
              </a:solidFill>
              <a:latin typeface="+mn-lt"/>
            </a:rPr>
            <a:t>4 m</a:t>
          </a:r>
        </a:p>
      </xdr:txBody>
    </xdr:sp>
    <xdr:clientData/>
  </xdr:twoCellAnchor>
  <xdr:twoCellAnchor editAs="oneCell">
    <xdr:from>
      <xdr:col>1</xdr:col>
      <xdr:colOff>60296</xdr:colOff>
      <xdr:row>40</xdr:row>
      <xdr:rowOff>126654</xdr:rowOff>
    </xdr:from>
    <xdr:to>
      <xdr:col>2</xdr:col>
      <xdr:colOff>487651</xdr:colOff>
      <xdr:row>41</xdr:row>
      <xdr:rowOff>126654</xdr:rowOff>
    </xdr:to>
    <xdr:sp macro="" textlink="">
      <xdr:nvSpPr>
        <xdr:cNvPr id="44" name="Fliederhecke_0_Text" descr="wep-app"/>
        <xdr:cNvSpPr txBox="1"/>
      </xdr:nvSpPr>
      <xdr:spPr>
        <a:xfrm>
          <a:off x="241271" y="7822854"/>
          <a:ext cx="855980"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Fliederhecke</a:t>
          </a:r>
        </a:p>
      </xdr:txBody>
    </xdr:sp>
    <xdr:clientData/>
  </xdr:twoCellAnchor>
  <xdr:twoCellAnchor editAs="oneCell">
    <xdr:from>
      <xdr:col>4</xdr:col>
      <xdr:colOff>890732</xdr:colOff>
      <xdr:row>38</xdr:row>
      <xdr:rowOff>118548</xdr:rowOff>
    </xdr:from>
    <xdr:to>
      <xdr:col>5</xdr:col>
      <xdr:colOff>382732</xdr:colOff>
      <xdr:row>39</xdr:row>
      <xdr:rowOff>118548</xdr:rowOff>
    </xdr:to>
    <xdr:sp macro="" textlink="">
      <xdr:nvSpPr>
        <xdr:cNvPr id="45" name="Apfel_0_Text" descr="wep-app"/>
        <xdr:cNvSpPr txBox="1"/>
      </xdr:nvSpPr>
      <xdr:spPr>
        <a:xfrm>
          <a:off x="4576907" y="7433748"/>
          <a:ext cx="41592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Apfel</a:t>
          </a:r>
        </a:p>
      </xdr:txBody>
    </xdr:sp>
    <xdr:clientData/>
  </xdr:twoCellAnchor>
  <xdr:twoCellAnchor editAs="oneCell">
    <xdr:from>
      <xdr:col>1</xdr:col>
      <xdr:colOff>374731</xdr:colOff>
      <xdr:row>11</xdr:row>
      <xdr:rowOff>26613</xdr:rowOff>
    </xdr:from>
    <xdr:to>
      <xdr:col>2</xdr:col>
      <xdr:colOff>613491</xdr:colOff>
      <xdr:row>12</xdr:row>
      <xdr:rowOff>26613</xdr:rowOff>
    </xdr:to>
    <xdr:sp macro="" textlink="">
      <xdr:nvSpPr>
        <xdr:cNvPr id="46" name="Bergahorn_0_Text" descr="wep-app"/>
        <xdr:cNvSpPr txBox="1"/>
      </xdr:nvSpPr>
      <xdr:spPr>
        <a:xfrm>
          <a:off x="555706" y="2198313"/>
          <a:ext cx="66738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Bergahorn</a:t>
          </a:r>
        </a:p>
      </xdr:txBody>
    </xdr:sp>
    <xdr:clientData/>
  </xdr:twoCellAnchor>
  <xdr:twoCellAnchor editAs="oneCell">
    <xdr:from>
      <xdr:col>5</xdr:col>
      <xdr:colOff>191077</xdr:colOff>
      <xdr:row>23</xdr:row>
      <xdr:rowOff>61075</xdr:rowOff>
    </xdr:from>
    <xdr:to>
      <xdr:col>6</xdr:col>
      <xdr:colOff>85032</xdr:colOff>
      <xdr:row>24</xdr:row>
      <xdr:rowOff>61075</xdr:rowOff>
    </xdr:to>
    <xdr:sp macro="" textlink="">
      <xdr:nvSpPr>
        <xdr:cNvPr id="47" name="Kompost_0_Text" descr="wep-app"/>
        <xdr:cNvSpPr txBox="1"/>
      </xdr:nvSpPr>
      <xdr:spPr>
        <a:xfrm>
          <a:off x="4801177" y="4518775"/>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Kompost</a:t>
          </a:r>
        </a:p>
      </xdr:txBody>
    </xdr:sp>
    <xdr:clientData/>
  </xdr:twoCellAnchor>
  <xdr:twoCellAnchor editAs="oneCell">
    <xdr:from>
      <xdr:col>4</xdr:col>
      <xdr:colOff>60758</xdr:colOff>
      <xdr:row>33</xdr:row>
      <xdr:rowOff>155344</xdr:rowOff>
    </xdr:from>
    <xdr:to>
      <xdr:col>4</xdr:col>
      <xdr:colOff>413818</xdr:colOff>
      <xdr:row>34</xdr:row>
      <xdr:rowOff>155344</xdr:rowOff>
    </xdr:to>
    <xdr:sp macro="" textlink="">
      <xdr:nvSpPr>
        <xdr:cNvPr id="48" name="Beet_0_Text" descr="wep-app"/>
        <xdr:cNvSpPr txBox="1"/>
      </xdr:nvSpPr>
      <xdr:spPr>
        <a:xfrm>
          <a:off x="3746933" y="6518044"/>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Beet</a:t>
          </a:r>
        </a:p>
      </xdr:txBody>
    </xdr:sp>
    <xdr:clientData/>
  </xdr:twoCellAnchor>
  <xdr:twoCellAnchor editAs="oneCell">
    <xdr:from>
      <xdr:col>3</xdr:col>
      <xdr:colOff>1568248</xdr:colOff>
      <xdr:row>40</xdr:row>
      <xdr:rowOff>184265</xdr:rowOff>
    </xdr:from>
    <xdr:to>
      <xdr:col>4</xdr:col>
      <xdr:colOff>859415</xdr:colOff>
      <xdr:row>42</xdr:row>
      <xdr:rowOff>71258</xdr:rowOff>
    </xdr:to>
    <xdr:sp macro="" textlink="">
      <xdr:nvSpPr>
        <xdr:cNvPr id="49" name="Rückschnitt_0" descr="wep-app"/>
        <xdr:cNvSpPr/>
      </xdr:nvSpPr>
      <xdr:spPr>
        <a:xfrm>
          <a:off x="3397048" y="7880465"/>
          <a:ext cx="1148542" cy="267993"/>
        </a:xfrm>
        <a:prstGeom prst="roundRect">
          <a:avLst/>
        </a:prstGeom>
        <a:solidFill>
          <a:srgbClr val="FFFFFF"/>
        </a:solidFill>
        <a:ln w="12700">
          <a:solidFill>
            <a:srgbClr val="C00000"/>
          </a:solidFill>
        </a:ln>
      </xdr:spPr>
      <xdr:txBody>
        <a:bodyPr vertOverflow="clip" horzOverflow="clip" wrap="none" lIns="12700" tIns="0" rIns="12700" bIns="0" rtlCol="0" anchor="ctr"/>
        <a:lstStyle/>
        <a:p>
          <a:pPr algn="ctr"/>
          <a:r>
            <a:rPr lang="de-DE" sz="900">
              <a:solidFill>
                <a:srgbClr val="C00000"/>
              </a:solidFill>
              <a:latin typeface="+mn-lt"/>
            </a:rPr>
            <a:t>Rückschnitt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t="s">
        <v>646</v>
      </c>
      <c r="F3" s="810"/>
      <c r="G3" s="331"/>
      <c r="H3" s="331" t="s">
        <v>418</v>
      </c>
      <c r="I3" s="623"/>
      <c r="J3" s="623"/>
      <c r="K3" s="623"/>
      <c r="L3" s="623"/>
      <c r="M3" s="623"/>
      <c r="N3" s="623"/>
    </row>
    <row r="4" spans="1:14" ht="15" x14ac:dyDescent="0.25">
      <c r="A4" s="193"/>
      <c r="B4" s="193" t="s">
        <v>52</v>
      </c>
      <c r="C4" s="193"/>
      <c r="D4" s="193"/>
      <c r="E4" s="815" t="s">
        <v>647</v>
      </c>
      <c r="F4" s="816"/>
      <c r="G4" s="331"/>
      <c r="H4" s="331"/>
      <c r="I4" s="331"/>
      <c r="J4" s="331"/>
      <c r="K4" s="331"/>
      <c r="L4" s="331"/>
      <c r="M4" s="331"/>
      <c r="N4" s="331"/>
    </row>
    <row r="5" spans="1:14" ht="15" x14ac:dyDescent="0.25">
      <c r="A5" s="193"/>
      <c r="B5" s="193" t="s">
        <v>516</v>
      </c>
      <c r="C5" s="193"/>
      <c r="D5" s="359"/>
      <c r="E5" s="811" t="s">
        <v>648</v>
      </c>
      <c r="F5" s="812"/>
      <c r="G5" s="331"/>
      <c r="H5" s="331" t="s">
        <v>419</v>
      </c>
      <c r="I5" s="623"/>
      <c r="J5" s="623"/>
      <c r="K5" s="623"/>
      <c r="L5" s="623"/>
      <c r="M5" s="623"/>
      <c r="N5" s="623"/>
    </row>
    <row r="6" spans="1:14" ht="15" x14ac:dyDescent="0.25">
      <c r="A6" s="193"/>
      <c r="B6" s="193" t="s">
        <v>53</v>
      </c>
      <c r="C6" s="193"/>
      <c r="D6" s="193"/>
      <c r="E6" s="813" t="s">
        <v>649</v>
      </c>
      <c r="F6" s="813"/>
      <c r="G6" s="331"/>
      <c r="H6" s="623" t="s">
        <v>615</v>
      </c>
      <c r="I6" s="331" t="s">
        <v>420</v>
      </c>
      <c r="J6" s="623"/>
      <c r="K6" s="623"/>
      <c r="L6" s="623"/>
      <c r="M6" s="623"/>
      <c r="N6" s="331" t="s">
        <v>621</v>
      </c>
    </row>
    <row r="7" spans="1:14" ht="15" x14ac:dyDescent="0.25">
      <c r="A7" s="193"/>
      <c r="B7" s="362" t="s">
        <v>152</v>
      </c>
      <c r="C7" s="196"/>
      <c r="D7" s="195"/>
      <c r="E7" s="812" t="s">
        <v>650</v>
      </c>
      <c r="F7" s="812"/>
      <c r="G7" s="331"/>
      <c r="H7" s="331" t="s">
        <v>615</v>
      </c>
      <c r="I7" s="331" t="s">
        <v>555</v>
      </c>
      <c r="J7" s="623"/>
      <c r="K7" s="623"/>
      <c r="L7" s="623"/>
      <c r="M7" s="623"/>
      <c r="N7" s="331" t="s">
        <v>622</v>
      </c>
    </row>
    <row r="8" spans="1:14" ht="15" x14ac:dyDescent="0.25">
      <c r="A8" s="193"/>
      <c r="B8" s="196"/>
      <c r="C8" s="362" t="s">
        <v>148</v>
      </c>
      <c r="D8" s="196"/>
      <c r="E8" s="812"/>
      <c r="F8" s="812"/>
      <c r="G8" s="331"/>
      <c r="H8" s="331" t="s">
        <v>615</v>
      </c>
      <c r="I8" s="643" t="s">
        <v>612</v>
      </c>
      <c r="J8" s="623"/>
      <c r="K8" s="623"/>
      <c r="L8" s="623"/>
      <c r="M8" s="623"/>
      <c r="N8" s="331" t="s">
        <v>623</v>
      </c>
    </row>
    <row r="9" spans="1:14" ht="15" x14ac:dyDescent="0.25">
      <c r="A9" s="360"/>
      <c r="B9" s="193" t="s">
        <v>54</v>
      </c>
      <c r="C9" s="358" t="s">
        <v>417</v>
      </c>
      <c r="D9" s="193"/>
      <c r="E9" s="813" t="s">
        <v>651</v>
      </c>
      <c r="F9" s="813"/>
      <c r="G9" s="331"/>
      <c r="H9" s="623"/>
      <c r="I9" s="331" t="s">
        <v>421</v>
      </c>
      <c r="J9" s="623"/>
      <c r="K9" s="623"/>
      <c r="L9" s="623"/>
      <c r="M9" s="623"/>
      <c r="N9" s="331" t="s">
        <v>624</v>
      </c>
    </row>
    <row r="10" spans="1:14" ht="15" x14ac:dyDescent="0.25">
      <c r="A10" s="193"/>
      <c r="B10" s="193"/>
      <c r="C10" s="193" t="s">
        <v>55</v>
      </c>
      <c r="D10" s="193"/>
      <c r="E10" s="813"/>
      <c r="F10" s="813"/>
      <c r="G10" s="331"/>
      <c r="H10" s="331" t="s">
        <v>615</v>
      </c>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t="s">
        <v>652</v>
      </c>
      <c r="F12" s="813"/>
      <c r="G12" s="331"/>
      <c r="H12" s="623"/>
      <c r="I12" s="623"/>
      <c r="J12" s="623"/>
      <c r="K12" s="623"/>
      <c r="L12" s="623"/>
      <c r="M12" s="623"/>
      <c r="N12" s="331" t="s">
        <v>425</v>
      </c>
    </row>
    <row r="13" spans="1:14" ht="15" x14ac:dyDescent="0.25">
      <c r="A13" s="193"/>
      <c r="B13" s="193" t="s">
        <v>548</v>
      </c>
      <c r="C13" s="193"/>
      <c r="D13" s="193"/>
      <c r="E13" s="814"/>
      <c r="F13" s="814"/>
      <c r="G13" s="331"/>
      <c r="H13" s="331"/>
      <c r="I13" s="331"/>
      <c r="J13" s="331"/>
      <c r="K13" s="331"/>
      <c r="L13" s="331"/>
      <c r="M13" s="331"/>
      <c r="N13" s="331"/>
    </row>
    <row r="14" spans="1:14" ht="15" x14ac:dyDescent="0.25">
      <c r="A14" s="193"/>
      <c r="B14" s="805" t="s">
        <v>145</v>
      </c>
      <c r="C14" s="806"/>
      <c r="D14" s="193"/>
      <c r="E14" s="807">
        <v>46309</v>
      </c>
      <c r="F14" s="808"/>
      <c r="G14" s="331"/>
      <c r="H14" s="331" t="s">
        <v>554</v>
      </c>
      <c r="I14" s="623"/>
      <c r="J14" s="623"/>
      <c r="K14" s="623"/>
      <c r="L14" s="623"/>
      <c r="M14" s="623"/>
      <c r="N14" s="623"/>
    </row>
    <row r="15" spans="1:14" ht="15" x14ac:dyDescent="0.25">
      <c r="A15" s="193"/>
      <c r="B15" s="193" t="s">
        <v>549</v>
      </c>
      <c r="C15" s="193"/>
      <c r="D15" s="193"/>
      <c r="E15" s="640">
        <v>46315</v>
      </c>
      <c r="F15" s="568"/>
      <c r="G15" s="331"/>
      <c r="H15" s="623" t="s">
        <v>616</v>
      </c>
      <c r="I15" s="331" t="s">
        <v>420</v>
      </c>
      <c r="J15" s="623"/>
      <c r="K15" s="623"/>
      <c r="L15" s="623"/>
      <c r="M15" s="623"/>
      <c r="N15" s="331" t="s">
        <v>621</v>
      </c>
    </row>
    <row r="16" spans="1:14" ht="15" x14ac:dyDescent="0.25">
      <c r="A16" s="193"/>
      <c r="B16" s="193" t="s">
        <v>56</v>
      </c>
      <c r="C16" s="193"/>
      <c r="D16" s="194"/>
      <c r="E16" s="641">
        <v>380</v>
      </c>
      <c r="F16" s="198" t="s">
        <v>61</v>
      </c>
      <c r="G16" s="331"/>
      <c r="H16" s="623" t="s">
        <v>616</v>
      </c>
      <c r="I16" s="331" t="s">
        <v>613</v>
      </c>
      <c r="J16" s="623"/>
      <c r="K16" s="623"/>
      <c r="L16" s="623"/>
      <c r="M16" s="623"/>
      <c r="N16" s="331" t="s">
        <v>625</v>
      </c>
    </row>
    <row r="17" spans="1:14" ht="15" x14ac:dyDescent="0.25">
      <c r="A17" s="358"/>
      <c r="B17" s="567" t="s">
        <v>521</v>
      </c>
      <c r="C17" s="193"/>
      <c r="D17" s="356"/>
      <c r="E17" s="642" t="s">
        <v>653</v>
      </c>
      <c r="F17" s="193"/>
      <c r="G17" s="331"/>
      <c r="H17" s="623" t="s">
        <v>616</v>
      </c>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623" t="s">
        <v>616</v>
      </c>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782">
        <f>Formalien!$E$6</f>
      </c>
      <c r="D7" s="782"/>
      <c r="E7" s="782"/>
      <c r="F7" s="782"/>
      <c r="G7" s="782"/>
    </row>
    <row r="8" spans="1:9" ht="15.75" x14ac:dyDescent="0.2">
      <c r="A8" s="788" t="s">
        <v>1</v>
      </c>
      <c r="B8" s="788"/>
      <c r="C8" s="783">
        <f>Formalien!$E$3</f>
      </c>
      <c r="D8" s="783"/>
      <c r="E8" s="783"/>
      <c r="F8" s="783"/>
      <c r="G8" s="783"/>
    </row>
    <row r="9" spans="1:9" ht="15.75" x14ac:dyDescent="0.2">
      <c r="A9" s="788" t="s">
        <v>523</v>
      </c>
      <c r="B9" s="788"/>
      <c r="C9" s="783">
        <f>IF(Formalien!$E$5="",Formalien!$E$4,Formalien!$E$4&amp;" / "&amp;Formalien!$E$5)</f>
      </c>
      <c r="D9" s="783"/>
      <c r="E9" s="783"/>
      <c r="F9" s="783"/>
      <c r="G9" s="783"/>
      <c r="I9" s="646"/>
    </row>
    <row r="10" spans="1:9" ht="15.75" x14ac:dyDescent="0.2">
      <c r="A10" s="788" t="s">
        <v>521</v>
      </c>
      <c r="B10" s="788"/>
      <c r="C10" s="688">
        <f>Formalien!$E$17</f>
      </c>
      <c r="D10" s="689"/>
      <c r="E10" s="690"/>
      <c r="F10" s="691"/>
      <c r="G10" s="691"/>
    </row>
    <row r="11" spans="1:9" ht="15.75" x14ac:dyDescent="0.2">
      <c r="A11" s="788" t="s">
        <v>145</v>
      </c>
      <c r="B11" s="788"/>
      <c r="C11" s="692">
        <f>Formalien!$E$14</f>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787">
        <f>Formalien!$E$12</f>
      </c>
      <c r="F13" s="787"/>
      <c r="G13" s="787"/>
    </row>
    <row r="14" spans="1:9" ht="15" customHeight="1" x14ac:dyDescent="0.2">
      <c r="A14" s="784"/>
      <c r="B14" s="780" t="s">
        <v>520</v>
      </c>
      <c r="C14" s="780"/>
      <c r="D14" s="780"/>
      <c r="E14" s="785">
        <f>Formalien!$E$13</f>
      </c>
      <c r="F14" s="786"/>
      <c r="G14" s="786"/>
    </row>
    <row r="15" spans="1:9" ht="15" customHeight="1" x14ac:dyDescent="0.2">
      <c r="A15" s="784"/>
      <c r="B15" s="780" t="s">
        <v>2</v>
      </c>
      <c r="C15" s="780"/>
      <c r="D15" s="780"/>
      <c r="E15" s="787">
        <f>Formalien!$E$10</f>
      </c>
      <c r="F15" s="787"/>
      <c r="G15" s="787"/>
    </row>
    <row r="16" spans="1:9" ht="15" customHeight="1" x14ac:dyDescent="0.2">
      <c r="A16" s="784"/>
      <c r="B16" s="780" t="s">
        <v>445</v>
      </c>
      <c r="C16" s="780"/>
      <c r="D16" s="780"/>
      <c r="E16" s="787">
        <f>Formalien!$E$11</f>
      </c>
      <c r="F16" s="787"/>
      <c r="G16" s="787"/>
    </row>
    <row r="17" spans="1:13" ht="15" customHeight="1" x14ac:dyDescent="0.2">
      <c r="A17" s="784"/>
      <c r="B17" s="780" t="s">
        <v>444</v>
      </c>
      <c r="C17" s="780"/>
      <c r="D17" s="780"/>
      <c r="E17" s="787">
        <f>Formalien!$E$9</f>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c>
      <c r="F21" s="794" t="s">
        <v>119</v>
      </c>
      <c r="G21" s="795"/>
      <c r="H21" s="477"/>
      <c r="K21" s="792"/>
      <c r="L21" s="792"/>
      <c r="M21" s="792"/>
    </row>
    <row r="22" spans="1:13" ht="19.899999999999999" customHeight="1" x14ac:dyDescent="0.2">
      <c r="A22" s="330"/>
      <c r="B22" s="775" t="s">
        <v>522</v>
      </c>
      <c r="C22" s="776"/>
      <c r="D22" s="776"/>
      <c r="E22" s="685">
        <f>Außenanlagen!$L$46</f>
      </c>
      <c r="F22" s="342"/>
      <c r="G22" s="476"/>
      <c r="K22" s="792"/>
      <c r="L22" s="792"/>
      <c r="M22" s="792"/>
    </row>
    <row r="23" spans="1:13" ht="19.899999999999999" customHeight="1" x14ac:dyDescent="0.2">
      <c r="B23" s="775" t="s">
        <v>451</v>
      </c>
      <c r="C23" s="776"/>
      <c r="D23" s="776"/>
      <c r="E23" s="685">
        <f>MAX('Aufwuchs I'!L46,'Aufwuchs II'!L46)</f>
      </c>
      <c r="F23" s="342"/>
      <c r="G23" s="476"/>
      <c r="L23" s="344"/>
      <c r="M23" s="344"/>
    </row>
    <row r="24" spans="1:13" ht="19.899999999999999" customHeight="1" x14ac:dyDescent="0.25">
      <c r="B24" s="793" t="s">
        <v>296</v>
      </c>
      <c r="C24" s="776"/>
      <c r="D24" s="776"/>
      <c r="E24" s="686">
        <f>SUM(E21:E23)</f>
      </c>
      <c r="F24" s="342"/>
      <c r="G24" s="476"/>
      <c r="J24" s="330"/>
      <c r="K24" s="789"/>
      <c r="L24" s="790"/>
      <c r="M24" s="342"/>
    </row>
    <row r="25" spans="1:13" ht="19.899999999999999" customHeight="1" x14ac:dyDescent="0.25">
      <c r="B25" s="775" t="s">
        <v>577</v>
      </c>
      <c r="C25" s="776"/>
      <c r="D25" s="776"/>
      <c r="E25" s="687">
        <f>Baulichkeiten!$H$104</f>
      </c>
      <c r="F25" s="342"/>
      <c r="G25" s="476"/>
      <c r="J25" s="330"/>
      <c r="K25" s="590"/>
      <c r="L25" s="591"/>
      <c r="M25" s="342"/>
    </row>
    <row r="26" spans="1:13" ht="19.899999999999999" customHeight="1" x14ac:dyDescent="0.2">
      <c r="B26" s="775" t="s">
        <v>572</v>
      </c>
      <c r="C26" s="776"/>
      <c r="D26" s="776"/>
      <c r="E26" s="687">
        <f>Beseitigungskosten!$K$24</f>
      </c>
      <c r="F26" s="342"/>
      <c r="G26" s="476"/>
      <c r="K26" s="495"/>
      <c r="L26" s="492"/>
      <c r="M26" s="342"/>
    </row>
    <row r="27" spans="1:13" ht="19.899999999999999" customHeight="1" thickBot="1" x14ac:dyDescent="0.25">
      <c r="B27" s="775" t="s">
        <v>630</v>
      </c>
      <c r="C27" s="803"/>
      <c r="D27" s="803"/>
      <c r="E27" s="687">
        <f>Beseitigungskosten!$K$45</f>
      </c>
      <c r="F27" s="342"/>
      <c r="G27" s="476"/>
      <c r="J27" s="330"/>
      <c r="K27" s="330"/>
    </row>
    <row r="28" spans="1:13" ht="19.899999999999999" customHeight="1" thickBot="1" x14ac:dyDescent="0.25">
      <c r="B28" s="777" t="s">
        <v>452</v>
      </c>
      <c r="C28" s="778"/>
      <c r="D28" s="778"/>
      <c r="E28" s="653">
        <f>SUM(E24-E25-E26-E27)</f>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517</v>
      </c>
      <c r="B31" s="779"/>
      <c r="C31" s="779"/>
      <c r="D31" s="779"/>
      <c r="E31" s="779"/>
      <c r="F31" s="779"/>
      <c r="G31" s="779"/>
    </row>
    <row r="32" spans="1:13" ht="11.45" customHeight="1" x14ac:dyDescent="0.25">
      <c r="A32"/>
      <c r="B32"/>
      <c r="C32"/>
      <c r="D32"/>
      <c r="E32"/>
      <c r="F32"/>
      <c r="G32"/>
    </row>
    <row r="33" spans="1:11" ht="77.25" customHeight="1" x14ac:dyDescent="0.2">
      <c r="A33" s="774" t="s">
        <v>526</v>
      </c>
      <c r="B33" s="774"/>
      <c r="C33" s="774"/>
      <c r="D33" s="774"/>
      <c r="E33" s="774"/>
      <c r="F33" s="774"/>
      <c r="G33" s="774"/>
    </row>
    <row r="34" spans="1:11" ht="86.45" customHeight="1" x14ac:dyDescent="0.2">
      <c r="A34" s="774" t="s">
        <v>454</v>
      </c>
      <c r="B34" s="774"/>
      <c r="C34" s="774"/>
      <c r="D34" s="774"/>
      <c r="E34" s="774"/>
      <c r="F34" s="774"/>
      <c r="G34" s="774"/>
    </row>
    <row r="35" spans="1:11" ht="28.9" customHeight="1" x14ac:dyDescent="0.2">
      <c r="A35" s="774" t="s">
        <v>455</v>
      </c>
      <c r="B35" s="774"/>
      <c r="C35" s="774"/>
      <c r="D35" s="774"/>
      <c r="E35" s="774"/>
      <c r="F35" s="774"/>
      <c r="G35" s="774"/>
      <c r="K35" s="498"/>
    </row>
    <row r="36" spans="1:11" ht="14.45" customHeight="1" x14ac:dyDescent="0.2">
      <c r="A36" s="800" t="s">
        <v>518</v>
      </c>
      <c r="B36" s="800"/>
      <c r="C36" s="800"/>
      <c r="D36" s="800"/>
      <c r="E36" s="800"/>
      <c r="F36" s="800"/>
      <c r="G36" s="800"/>
      <c r="K36" s="499"/>
    </row>
    <row r="37" spans="1:11" ht="28.9" customHeight="1" x14ac:dyDescent="0.2">
      <c r="A37" s="802" t="s">
        <v>556</v>
      </c>
      <c r="B37" s="802"/>
      <c r="C37" s="802"/>
      <c r="D37" s="802"/>
      <c r="E37" s="802"/>
      <c r="F37" s="802"/>
      <c r="G37" s="802"/>
      <c r="K37" s="498"/>
    </row>
    <row r="38" spans="1:11" ht="28.9" customHeight="1" x14ac:dyDescent="0.2">
      <c r="A38" s="800" t="s">
        <v>525</v>
      </c>
      <c r="B38" s="774"/>
      <c r="C38" s="774"/>
      <c r="D38" s="774"/>
      <c r="E38" s="774"/>
      <c r="F38" s="774"/>
      <c r="G38" s="774"/>
      <c r="K38" s="499"/>
    </row>
    <row r="39" spans="1:11" ht="15" x14ac:dyDescent="0.25">
      <c r="A39"/>
      <c r="B39"/>
      <c r="C39"/>
      <c r="D39"/>
      <c r="E39"/>
      <c r="F39"/>
      <c r="G39"/>
      <c r="K39" s="498"/>
    </row>
    <row r="40" spans="1:11" ht="15" x14ac:dyDescent="0.25">
      <c r="A40" s="498" t="s">
        <v>453</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v>0</v>
      </c>
      <c r="E2" s="859"/>
      <c r="F2" s="872"/>
      <c r="G2" s="872"/>
      <c r="H2" s="363" t="s">
        <v>519</v>
      </c>
      <c r="I2" s="868">
        <f>Formalien!$E$4</f>
        <v>0</v>
      </c>
      <c r="J2" s="868"/>
      <c r="K2" s="868"/>
    </row>
    <row r="3" spans="1:20" s="1" customFormat="1" x14ac:dyDescent="0.25">
      <c r="A3" s="849" t="s">
        <v>65</v>
      </c>
      <c r="B3" s="849"/>
      <c r="C3" s="849"/>
      <c r="D3" s="849"/>
      <c r="E3" s="366">
        <f>Formalien!$E$16</f>
        <v>0</v>
      </c>
      <c r="F3" s="364" t="s">
        <v>61</v>
      </c>
      <c r="G3" s="508"/>
      <c r="H3" s="508"/>
      <c r="I3" s="870">
        <f>Formalien!$E$5</f>
        <v>0</v>
      </c>
      <c r="J3" s="871"/>
      <c r="K3" s="871"/>
    </row>
    <row r="4" spans="1:20" s="1" customFormat="1" x14ac:dyDescent="0.25">
      <c r="A4" s="849" t="s">
        <v>0</v>
      </c>
      <c r="B4" s="849"/>
      <c r="C4" s="849"/>
      <c r="D4" s="849"/>
      <c r="E4" s="869">
        <f>Formalien!$E$6</f>
        <v>0</v>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s">
        <v>355</v>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s">
        <v>536</v>
      </c>
      <c r="E12" s="374" t="s">
        <v>4</v>
      </c>
      <c r="F12">
        <f>Tabelle1!$D$88</f>
        <v>0</v>
      </c>
      <c r="G12" s="848" t="s">
        <v>294</v>
      </c>
      <c r="H12" s="848"/>
      <c r="I12" s="848"/>
      <c r="J12" s="848"/>
      <c r="M12" s="844"/>
      <c r="N12" s="844"/>
      <c r="O12" s="844"/>
      <c r="P12" s="844"/>
    </row>
    <row r="13" spans="1:20" ht="16.5" customHeight="1" x14ac:dyDescent="0.25">
      <c r="B13" s="372" t="s">
        <v>122</v>
      </c>
      <c r="C13" s="382"/>
      <c r="D13" s="843"/>
      <c r="E13" s="843"/>
      <c r="F13" s="843"/>
      <c r="H13" s="374" t="s">
        <v>298</v>
      </c>
      <c r="I13" s="383"/>
      <c r="J13" s="384"/>
      <c r="K13" s="315"/>
      <c r="M13" s="337"/>
      <c r="N13" s="385"/>
      <c r="O13" s="337"/>
    </row>
    <row r="14" spans="1:20" ht="16.5" customHeight="1" thickBot="1" x14ac:dyDescent="0.3">
      <c r="B14" s="374" t="s">
        <v>6</v>
      </c>
      <c r="C14" s="386">
        <f>Tabelle1!$B$90</f>
        <v>0</v>
      </c>
      <c r="D14" s="374" t="s">
        <v>16</v>
      </c>
      <c r="E14" s="387"/>
      <c r="F14" s="844" t="s">
        <v>299</v>
      </c>
      <c r="G14" s="844"/>
      <c r="H14" s="388">
        <f>ROUND(C14-C14*E14/100,2)</f>
        <v>0</v>
      </c>
      <c r="I14" s="388"/>
      <c r="J14" s="384"/>
      <c r="M14" s="365"/>
      <c r="N14" s="342"/>
      <c r="O14" s="342"/>
      <c r="P14" s="834"/>
      <c r="Q14" s="834"/>
      <c r="R14" s="834"/>
      <c r="S14" s="373"/>
      <c r="T14" s="373"/>
    </row>
    <row r="15" spans="1:20" ht="16.5" customHeight="1" thickBot="1" x14ac:dyDescent="0.3">
      <c r="B15" s="388"/>
      <c r="C15" s="389">
        <f>$H$14</f>
        <v>0</v>
      </c>
      <c r="D15" s="374" t="s">
        <v>16</v>
      </c>
      <c r="E15" s="390">
        <f>Tabelle1!$I$90</f>
        <v>0</v>
      </c>
      <c r="F15" s="834" t="s">
        <v>300</v>
      </c>
      <c r="G15" s="834"/>
      <c r="H15" s="388">
        <f>ROUND(C15-C15*E15%,2)</f>
        <v>0</v>
      </c>
      <c r="J15" s="384"/>
      <c r="M15" s="391" t="s">
        <v>44</v>
      </c>
      <c r="N15" s="392" t="s">
        <v>154</v>
      </c>
      <c r="O15" s="393"/>
      <c r="P15" s="394" t="s">
        <v>14</v>
      </c>
      <c r="S15" s="372"/>
      <c r="T15" s="373"/>
    </row>
    <row r="16" spans="1:20" ht="16.5" customHeight="1" thickBot="1" x14ac:dyDescent="0.3">
      <c r="C16" s="395">
        <f>$H$15</f>
        <v>0</v>
      </c>
      <c r="D16" s="379" t="s">
        <v>18</v>
      </c>
      <c r="E16" s="372">
        <f>H7/100</f>
        <v>1.7919999999999998</v>
      </c>
      <c r="F16" s="836" t="s">
        <v>436</v>
      </c>
      <c r="G16" s="836"/>
      <c r="H16" s="388">
        <f>ROUND(C16*E16,2)</f>
        <v>0</v>
      </c>
      <c r="J16" s="384"/>
      <c r="M16" s="396" t="s">
        <v>40</v>
      </c>
      <c r="N16" s="863" t="s">
        <v>40</v>
      </c>
      <c r="O16" s="864"/>
      <c r="P16" s="397"/>
    </row>
    <row r="17" spans="1:18" ht="16.5" customHeight="1" thickBot="1" x14ac:dyDescent="0.3">
      <c r="A17" s="398"/>
      <c r="B17" s="372" t="s">
        <v>185</v>
      </c>
      <c r="C17" s="384">
        <f>$H$16</f>
        <v>0</v>
      </c>
      <c r="D17" s="399" t="s">
        <v>9</v>
      </c>
      <c r="E17" s="384">
        <f>ROUND(A17*C17,2)</f>
        <v>0</v>
      </c>
      <c r="F17" s="835"/>
      <c r="G17" s="835"/>
      <c r="H17" s="835"/>
      <c r="I17" s="378" t="s">
        <v>158</v>
      </c>
      <c r="J17" s="400" t="str">
        <f>$B$12</f>
        <v>L</v>
      </c>
      <c r="K17" s="645">
        <f>E17</f>
        <v>0</v>
      </c>
      <c r="M17" s="402" t="s">
        <v>159</v>
      </c>
      <c r="N17" s="403" t="str">
        <f>N45</f>
        <v xml:space="preserve">Stein 17,50 - 23,99 cm </v>
      </c>
      <c r="O17" s="404"/>
      <c r="P17" s="405">
        <v>515</v>
      </c>
    </row>
    <row r="18" spans="1:18" ht="16.5" customHeight="1" thickBot="1" x14ac:dyDescent="0.3">
      <c r="A18" s="406" t="s">
        <v>186</v>
      </c>
      <c r="D18" s="407"/>
      <c r="E18" s="408"/>
      <c r="F18" s="266"/>
      <c r="G18" s="266"/>
      <c r="H18" s="266"/>
      <c r="J18" s="384"/>
      <c r="M18" s="402" t="s">
        <v>160</v>
      </c>
      <c r="N18" s="403" t="str">
        <f>N46</f>
        <v>Stein 24,00 - 35,99 cm</v>
      </c>
      <c r="O18" s="404"/>
      <c r="P18" s="405">
        <v>595</v>
      </c>
    </row>
    <row r="19" spans="1:18" ht="16.5" customHeight="1" thickBot="1" x14ac:dyDescent="0.3">
      <c r="A19" s="378" t="s">
        <v>5</v>
      </c>
      <c r="B19" s="694" t="s">
        <v>536</v>
      </c>
      <c r="C19" s="806" t="s">
        <v>631</v>
      </c>
      <c r="D19" s="806"/>
      <c r="E19" s="806"/>
      <c r="F19" s="806"/>
      <c r="G19" s="806"/>
      <c r="H19" s="806"/>
      <c r="I19" s="695">
        <v>1</v>
      </c>
      <c r="J19" t="s">
        <v>79</v>
      </c>
      <c r="M19" s="402" t="s">
        <v>161</v>
      </c>
      <c r="N19" s="403" t="str">
        <f>N47</f>
        <v>Stein ab 36,00 cm</v>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s">
        <v>360</v>
      </c>
      <c r="E21" s="374" t="s">
        <v>4</v>
      </c>
      <c r="F21" s="372">
        <f>Tabelle1!$D$93</f>
        <v>0</v>
      </c>
      <c r="G21" s="848" t="s">
        <v>294</v>
      </c>
      <c r="H21" s="848"/>
      <c r="I21" s="848"/>
      <c r="J21" s="848"/>
      <c r="M21" s="402" t="s">
        <v>162</v>
      </c>
      <c r="N21" s="410" t="str">
        <f>N48</f>
        <v>Stein 10,00 - 12,00 cm</v>
      </c>
      <c r="O21" s="411"/>
      <c r="P21" s="405">
        <v>350</v>
      </c>
    </row>
    <row r="22" spans="1:18" ht="16.5" customHeight="1" x14ac:dyDescent="0.25">
      <c r="B22" s="372" t="s">
        <v>122</v>
      </c>
      <c r="C22" s="382"/>
      <c r="D22" s="843"/>
      <c r="E22" s="843"/>
      <c r="F22" s="843"/>
      <c r="H22" s="374" t="s">
        <v>298</v>
      </c>
      <c r="I22" s="383"/>
      <c r="J22" s="384"/>
      <c r="K22" s="315"/>
      <c r="M22" s="412" t="s">
        <v>163</v>
      </c>
      <c r="N22" s="403" t="str">
        <f>N49</f>
        <v>Stein 12,01 - 17,49 cm</v>
      </c>
      <c r="O22" s="404"/>
      <c r="P22" s="405">
        <v>490</v>
      </c>
    </row>
    <row r="23" spans="1:18" ht="16.5" customHeight="1" x14ac:dyDescent="0.25">
      <c r="B23" s="374" t="s">
        <v>6</v>
      </c>
      <c r="C23" s="386">
        <f>Tabelle1!$B$95</f>
        <v>0</v>
      </c>
      <c r="D23" s="374" t="s">
        <v>16</v>
      </c>
      <c r="E23" s="387"/>
      <c r="F23" s="844" t="s">
        <v>299</v>
      </c>
      <c r="G23" s="844"/>
      <c r="H23" s="388">
        <f>ROUND(C23-C23*E23/100,2)</f>
        <v>0</v>
      </c>
      <c r="I23" s="388"/>
      <c r="J23" s="384"/>
      <c r="M23" s="402" t="s">
        <v>42</v>
      </c>
      <c r="N23" s="817" t="s">
        <v>42</v>
      </c>
      <c r="O23" s="818"/>
      <c r="P23" s="405"/>
    </row>
    <row r="24" spans="1:18" ht="16.5" customHeight="1" x14ac:dyDescent="0.25">
      <c r="B24" s="388"/>
      <c r="C24" s="395">
        <f>$H$23</f>
        <v>0</v>
      </c>
      <c r="D24" s="374" t="s">
        <v>16</v>
      </c>
      <c r="E24" s="390">
        <f>Tabelle1!$I$95</f>
        <v>0</v>
      </c>
      <c r="F24" s="834" t="s">
        <v>300</v>
      </c>
      <c r="G24" s="834"/>
      <c r="H24" s="388">
        <f>ROUND(C24-C24*E24%,2)</f>
        <v>0</v>
      </c>
      <c r="J24" s="384"/>
      <c r="M24" s="402" t="s">
        <v>164</v>
      </c>
      <c r="N24" s="403" t="str">
        <f t="shared" ref="N24:N29" si="0">N50</f>
        <v>Blockhaus 6,00 - 7,49 cm</v>
      </c>
      <c r="O24" s="404"/>
      <c r="P24" s="405">
        <v>420</v>
      </c>
    </row>
    <row r="25" spans="1:18" ht="16.5" customHeight="1" thickBot="1" x14ac:dyDescent="0.3">
      <c r="C25" s="388">
        <f>$H$24</f>
        <v>0</v>
      </c>
      <c r="D25" s="379" t="s">
        <v>18</v>
      </c>
      <c r="E25" s="372">
        <f>H7/100</f>
        <v>1.7919999999999998</v>
      </c>
      <c r="F25" s="836" t="s">
        <v>436</v>
      </c>
      <c r="G25" s="836"/>
      <c r="H25" s="388">
        <f>ROUND(C25*E25,2)</f>
        <v>0</v>
      </c>
      <c r="J25" s="384"/>
      <c r="M25" s="402" t="s">
        <v>165</v>
      </c>
      <c r="N25" s="403" t="str">
        <f t="shared" si="0"/>
        <v>Blockhaus 7,50 - 8,99 cm</v>
      </c>
      <c r="O25" s="404"/>
      <c r="P25" s="405">
        <v>555</v>
      </c>
    </row>
    <row r="26" spans="1:18" ht="16.5" customHeight="1" thickBot="1" x14ac:dyDescent="0.3">
      <c r="A26" s="398"/>
      <c r="B26" s="372" t="s">
        <v>185</v>
      </c>
      <c r="C26" s="384">
        <f>$H$25</f>
        <v>0</v>
      </c>
      <c r="D26" s="399" t="s">
        <v>9</v>
      </c>
      <c r="E26" s="384">
        <f>ROUND(A26*C26,2)</f>
        <v>0</v>
      </c>
      <c r="F26" s="835"/>
      <c r="G26" s="835"/>
      <c r="H26" s="835"/>
      <c r="I26" s="378" t="s">
        <v>158</v>
      </c>
      <c r="J26" s="414" t="str">
        <f>$B$21</f>
        <v>A1</v>
      </c>
      <c r="K26" s="401">
        <f>E26</f>
        <v>0</v>
      </c>
      <c r="M26" s="402" t="s">
        <v>166</v>
      </c>
      <c r="N26" s="403" t="str">
        <f t="shared" si="0"/>
        <v xml:space="preserve">Blockhaus ab 9,0 cm </v>
      </c>
      <c r="O26" s="404"/>
      <c r="P26" s="405">
        <v>672</v>
      </c>
    </row>
    <row r="27" spans="1:18" ht="15.75" thickBot="1" x14ac:dyDescent="0.3">
      <c r="A27" s="406" t="s">
        <v>186</v>
      </c>
      <c r="M27" s="402" t="s">
        <v>164</v>
      </c>
      <c r="N27" s="415" t="str">
        <f t="shared" si="0"/>
        <v>Doppelt Holz 10,01 - 14,99 cm</v>
      </c>
      <c r="O27" s="416"/>
      <c r="P27" s="405">
        <v>420</v>
      </c>
    </row>
    <row r="28" spans="1:18" ht="15.75" thickBot="1" x14ac:dyDescent="0.3">
      <c r="A28" s="378" t="s">
        <v>5</v>
      </c>
      <c r="B28" s="694" t="s">
        <v>360</v>
      </c>
      <c r="C28" s="806" t="s">
        <v>632</v>
      </c>
      <c r="D28" s="806"/>
      <c r="E28" s="806"/>
      <c r="F28" s="806"/>
      <c r="G28" s="806"/>
      <c r="H28" s="806"/>
      <c r="I28" s="695">
        <v>2</v>
      </c>
      <c r="J28" t="s">
        <v>79</v>
      </c>
      <c r="M28" s="402" t="s">
        <v>165</v>
      </c>
      <c r="N28" s="415" t="str">
        <f t="shared" si="0"/>
        <v xml:space="preserve">Doppelt Holz 15,00 - 19,99 cm </v>
      </c>
      <c r="O28" s="416"/>
      <c r="P28" s="405">
        <v>555</v>
      </c>
    </row>
    <row r="29" spans="1:18" x14ac:dyDescent="0.25">
      <c r="A29" s="378"/>
      <c r="B29" s="693"/>
      <c r="C29"/>
      <c r="D29"/>
      <c r="E29"/>
      <c r="F29"/>
      <c r="G29"/>
      <c r="H29"/>
      <c r="I29"/>
      <c r="J29"/>
      <c r="M29" s="419" t="s">
        <v>166</v>
      </c>
      <c r="N29" s="415" t="str">
        <f t="shared" si="0"/>
        <v>Doppelt Holz ab 20,00 cm</v>
      </c>
      <c r="O29" s="416"/>
      <c r="P29" s="405">
        <v>672</v>
      </c>
    </row>
    <row r="30" spans="1:18" ht="16.5" customHeight="1" x14ac:dyDescent="0.25">
      <c r="A30" s="380" t="s">
        <v>5</v>
      </c>
      <c r="B30" s="381" t="s">
        <v>361</v>
      </c>
      <c r="E30" s="374" t="s">
        <v>4</v>
      </c>
      <c r="F30" s="372">
        <f>Tabelle1!$D$98</f>
        <v>0</v>
      </c>
      <c r="G30" s="848" t="s">
        <v>294</v>
      </c>
      <c r="H30" s="848"/>
      <c r="I30" s="848"/>
      <c r="J30" s="848"/>
      <c r="M30" s="420" t="s">
        <v>43</v>
      </c>
      <c r="N30" s="819" t="s">
        <v>43</v>
      </c>
      <c r="O30" s="818"/>
      <c r="P30" s="421"/>
    </row>
    <row r="31" spans="1:18" ht="16.5" customHeight="1" x14ac:dyDescent="0.25">
      <c r="B31" s="372" t="s">
        <v>122</v>
      </c>
      <c r="C31" s="382"/>
      <c r="D31" s="843"/>
      <c r="E31" s="843"/>
      <c r="F31" s="843"/>
      <c r="H31" s="374" t="s">
        <v>298</v>
      </c>
      <c r="I31" s="383"/>
      <c r="J31" s="384"/>
      <c r="K31" s="315"/>
      <c r="M31" s="402" t="s">
        <v>167</v>
      </c>
      <c r="N31" s="423" t="str">
        <f>N58</f>
        <v xml:space="preserve">Blockhaus bis 3,00 cm </v>
      </c>
      <c r="O31" s="424"/>
      <c r="P31" s="405">
        <v>265</v>
      </c>
    </row>
    <row r="32" spans="1:18" ht="16.5" customHeight="1" x14ac:dyDescent="0.25">
      <c r="B32" s="374" t="s">
        <v>6</v>
      </c>
      <c r="C32" s="417">
        <f>Tabelle1!$B$100</f>
        <v>0</v>
      </c>
      <c r="D32" s="374" t="s">
        <v>16</v>
      </c>
      <c r="E32" s="387"/>
      <c r="F32" s="844" t="s">
        <v>299</v>
      </c>
      <c r="G32" s="844"/>
      <c r="H32" s="388">
        <f>ROUND(C32-C32*E32/100,2)</f>
        <v>0</v>
      </c>
      <c r="I32" s="388"/>
      <c r="J32" s="384"/>
      <c r="M32" s="402" t="s">
        <v>168</v>
      </c>
      <c r="N32" s="423" t="str">
        <f>N61</f>
        <v>Blockhaus 3,01 - 4,99 cm</v>
      </c>
      <c r="O32" s="424"/>
      <c r="P32" s="405">
        <v>325</v>
      </c>
      <c r="Q32" s="372"/>
      <c r="R32" s="372"/>
    </row>
    <row r="33" spans="1:18" ht="16.5" customHeight="1" x14ac:dyDescent="0.25">
      <c r="B33" s="388"/>
      <c r="C33" s="395">
        <f>$H$23</f>
        <v>0</v>
      </c>
      <c r="D33" s="374" t="s">
        <v>16</v>
      </c>
      <c r="E33" s="418">
        <f>Tabelle1!$I$100</f>
        <v>0</v>
      </c>
      <c r="F33" s="834" t="s">
        <v>300</v>
      </c>
      <c r="G33" s="834"/>
      <c r="H33" s="388">
        <f>ROUND(C33-C33*E33%,2)</f>
        <v>0</v>
      </c>
      <c r="J33" s="384"/>
      <c r="M33" s="402" t="s">
        <v>169</v>
      </c>
      <c r="N33" s="423" t="str">
        <f>N62</f>
        <v>Blockhaus ab 5,00 cm</v>
      </c>
      <c r="O33" s="424"/>
      <c r="P33" s="405">
        <v>420</v>
      </c>
      <c r="Q33" s="372"/>
      <c r="R33" s="372"/>
    </row>
    <row r="34" spans="1:18" ht="16.5" customHeight="1" thickBot="1" x14ac:dyDescent="0.3">
      <c r="C34" s="388">
        <f>$H$33</f>
        <v>0</v>
      </c>
      <c r="D34" s="379" t="s">
        <v>18</v>
      </c>
      <c r="E34" s="372">
        <f>$E$16</f>
        <v>1.7919999999999998</v>
      </c>
      <c r="F34" s="836" t="s">
        <v>436</v>
      </c>
      <c r="G34" s="836"/>
      <c r="H34" s="388">
        <f>ROUND(C34*E34,2)</f>
        <v>0</v>
      </c>
      <c r="J34" s="384"/>
      <c r="M34" s="402" t="s">
        <v>167</v>
      </c>
      <c r="N34" s="423" t="str">
        <f>N63</f>
        <v>Doppelwand bis 4,00 cm</v>
      </c>
      <c r="O34" s="424"/>
      <c r="P34" s="405">
        <v>265</v>
      </c>
      <c r="Q34" s="372"/>
      <c r="R34" s="372"/>
    </row>
    <row r="35" spans="1:18" ht="16.5" customHeight="1" thickBot="1" x14ac:dyDescent="0.3">
      <c r="A35" s="398"/>
      <c r="B35" s="372" t="s">
        <v>185</v>
      </c>
      <c r="C35" s="384">
        <f>$H$34</f>
        <v>0</v>
      </c>
      <c r="D35" s="399" t="s">
        <v>9</v>
      </c>
      <c r="E35" s="384">
        <f>ROUND(A35*C35,2)</f>
        <v>0</v>
      </c>
      <c r="F35" s="835"/>
      <c r="G35" s="835"/>
      <c r="H35" s="835"/>
      <c r="I35" s="378" t="s">
        <v>158</v>
      </c>
      <c r="J35" s="422" t="str">
        <f>$B$30</f>
        <v>A2</v>
      </c>
      <c r="K35" s="401">
        <f>E35</f>
        <v>0</v>
      </c>
      <c r="M35" s="419" t="s">
        <v>169</v>
      </c>
      <c r="N35" s="425" t="str">
        <f>N65</f>
        <v>Doppelwand 8,01 - 10,00 cm</v>
      </c>
      <c r="O35" s="424"/>
      <c r="P35" s="405">
        <v>420</v>
      </c>
      <c r="Q35" s="407"/>
      <c r="R35" s="372"/>
    </row>
    <row r="36" spans="1:18" ht="16.5" customHeight="1" thickBot="1" x14ac:dyDescent="0.3">
      <c r="A36" s="406" t="s">
        <v>186</v>
      </c>
    </row>
    <row r="37" spans="1:18" ht="16.149999999999999" customHeight="1" thickBot="1" x14ac:dyDescent="0.3">
      <c r="A37" s="378" t="s">
        <v>5</v>
      </c>
      <c r="B37" s="694" t="s">
        <v>361</v>
      </c>
      <c r="C37" s="806" t="s">
        <v>631</v>
      </c>
      <c r="D37" s="806"/>
      <c r="E37" s="806"/>
      <c r="F37" s="806"/>
      <c r="G37" s="806"/>
      <c r="H37" s="806"/>
      <c r="I37" s="695">
        <v>3</v>
      </c>
      <c r="J37" t="s">
        <v>79</v>
      </c>
    </row>
    <row r="38" spans="1:18" ht="16.149999999999999" customHeight="1" thickBot="1" x14ac:dyDescent="0.3">
      <c r="A38" s="378"/>
      <c r="B38" s="854" t="s">
        <v>633</v>
      </c>
      <c r="C38" s="806"/>
      <c r="D38" s="806"/>
      <c r="E38" s="806"/>
      <c r="F38" s="855"/>
      <c r="G38" s="855"/>
      <c r="H38"/>
      <c r="I38" s="695">
        <f>I19+I28+I37</f>
        <v>6</v>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s">
        <v>362</v>
      </c>
      <c r="E40" s="834" t="s">
        <v>175</v>
      </c>
      <c r="F40" s="834"/>
      <c r="G40" s="398"/>
      <c r="H40" s="374" t="s">
        <v>183</v>
      </c>
      <c r="I40" s="505"/>
    </row>
    <row r="41" spans="1:18" ht="16.5" customHeight="1" x14ac:dyDescent="0.25">
      <c r="C41" s="372" t="s">
        <v>14</v>
      </c>
      <c r="D41" s="503"/>
      <c r="E41" s="372" t="s">
        <v>16</v>
      </c>
      <c r="F41" s="504">
        <v>0.1</v>
      </c>
      <c r="G41" s="374" t="s">
        <v>57</v>
      </c>
      <c r="H41" s="399" t="s">
        <v>9</v>
      </c>
      <c r="I41" s="426">
        <f>ROUND(D41-D41*F41,2)</f>
        <v>0</v>
      </c>
      <c r="M41" s="331"/>
      <c r="N41" s="365"/>
      <c r="O41" s="331"/>
      <c r="P41" s="342"/>
    </row>
    <row r="42" spans="1:18" ht="16.5" customHeight="1" x14ac:dyDescent="0.25">
      <c r="C42" s="373">
        <f>I41</f>
        <v>0</v>
      </c>
      <c r="D42" s="372" t="s">
        <v>16</v>
      </c>
      <c r="E42" s="372">
        <f>I40*G40</f>
        <v>0</v>
      </c>
      <c r="F42" s="379" t="s">
        <v>188</v>
      </c>
      <c r="G42" s="379"/>
      <c r="H42" s="399">
        <v>5</v>
      </c>
      <c r="I42" s="373">
        <f>IF(E42&gt;99,"abgeschrieben",ROUND(C42-C42*E42%,2))</f>
        <v>0</v>
      </c>
    </row>
    <row r="43" spans="1:18" ht="16.5" customHeight="1" thickBot="1" x14ac:dyDescent="0.3">
      <c r="C43" s="373">
        <f>IF(I42="abgeschrieben",0,I42)</f>
        <v>0</v>
      </c>
      <c r="D43" s="372" t="s">
        <v>18</v>
      </c>
      <c r="E43" s="372">
        <f>H7/100</f>
        <v>1.7919999999999998</v>
      </c>
      <c r="F43" s="860" t="s">
        <v>13</v>
      </c>
      <c r="G43" s="860"/>
      <c r="H43" s="399" t="s">
        <v>9</v>
      </c>
      <c r="I43" s="373">
        <f>ROUND(C43*E43,2)</f>
        <v>0</v>
      </c>
    </row>
    <row r="44" spans="1:18" ht="15.75" thickBot="1" x14ac:dyDescent="0.3">
      <c r="A44" s="372" t="s">
        <v>439</v>
      </c>
      <c r="F44" s="398"/>
      <c r="G44" s="372" t="s">
        <v>17</v>
      </c>
      <c r="H44" s="373">
        <f>I43</f>
        <v>0</v>
      </c>
      <c r="I44" s="399" t="s">
        <v>440</v>
      </c>
      <c r="J44" s="427" t="str">
        <f>$D$40</f>
        <v>GWH</v>
      </c>
      <c r="K44" s="401">
        <f>ROUND(F44*H44,2)</f>
        <v>0</v>
      </c>
      <c r="N44" s="428" t="s">
        <v>341</v>
      </c>
    </row>
    <row r="45" spans="1:18" ht="16.5" customHeight="1" x14ac:dyDescent="0.25">
      <c r="N45" s="429" t="str">
        <f>Tabelle1!J87</f>
        <v xml:space="preserve">Stein 17,50 - 23,99 cm </v>
      </c>
      <c r="P45" s="76" t="s">
        <v>327</v>
      </c>
      <c r="Q45" s="76"/>
      <c r="R45" s="76"/>
    </row>
    <row r="46" spans="1:18" x14ac:dyDescent="0.25">
      <c r="A46" s="430" t="s">
        <v>290</v>
      </c>
      <c r="B46" s="430"/>
      <c r="C46" s="430"/>
      <c r="F46" s="431"/>
      <c r="H46" s="374"/>
      <c r="I46" s="432"/>
      <c r="J46" s="431"/>
      <c r="N46" s="433" t="str">
        <f>Tabelle1!J88</f>
        <v>Stein 24,00 - 35,99 cm</v>
      </c>
      <c r="P46" s="76" t="s">
        <v>328</v>
      </c>
      <c r="Q46" s="76"/>
      <c r="R46" s="76">
        <v>3</v>
      </c>
    </row>
    <row r="47" spans="1:18" x14ac:dyDescent="0.25">
      <c r="A47" s="380" t="s">
        <v>5</v>
      </c>
      <c r="B47" s="381" t="s">
        <v>365</v>
      </c>
      <c r="E47" s="374" t="s">
        <v>4</v>
      </c>
      <c r="F47" s="372">
        <f>Tabelle1!$D$103</f>
        <v>0</v>
      </c>
      <c r="G47" s="848" t="s">
        <v>294</v>
      </c>
      <c r="H47" s="848"/>
      <c r="I47" s="848"/>
      <c r="J47" s="434"/>
      <c r="N47" s="433" t="str">
        <f>Tabelle1!J89</f>
        <v>Stein ab 36,00 cm</v>
      </c>
      <c r="P47" s="76" t="s">
        <v>329</v>
      </c>
      <c r="Q47" s="76"/>
      <c r="R47" s="76">
        <v>4</v>
      </c>
    </row>
    <row r="48" spans="1:18" x14ac:dyDescent="0.25">
      <c r="B48" s="372" t="s">
        <v>122</v>
      </c>
      <c r="C48" s="382"/>
      <c r="D48" s="842"/>
      <c r="E48" s="843"/>
      <c r="F48" s="843"/>
      <c r="H48" s="374" t="s">
        <v>298</v>
      </c>
      <c r="I48" s="383"/>
      <c r="J48" s="384"/>
      <c r="K48" s="315"/>
      <c r="N48" s="433" t="str">
        <f>Tabelle1!J90</f>
        <v>Stein 10,00 - 12,00 cm</v>
      </c>
      <c r="P48" s="76" t="s">
        <v>330</v>
      </c>
      <c r="Q48" s="76"/>
      <c r="R48" s="76">
        <v>5</v>
      </c>
    </row>
    <row r="49" spans="1:18" x14ac:dyDescent="0.25">
      <c r="B49" s="374" t="s">
        <v>6</v>
      </c>
      <c r="C49" s="386">
        <f>Tabelle1!$B$105</f>
        <v>0</v>
      </c>
      <c r="D49" s="374" t="s">
        <v>16</v>
      </c>
      <c r="E49" s="435"/>
      <c r="F49" s="844" t="s">
        <v>299</v>
      </c>
      <c r="G49" s="844"/>
      <c r="H49" s="388">
        <f>ROUND(C49-C49*E49/100,2)</f>
        <v>0</v>
      </c>
      <c r="I49" s="388"/>
      <c r="J49" s="384"/>
      <c r="N49" s="433" t="str">
        <f>Tabelle1!J91</f>
        <v>Stein 12,01 - 17,49 cm</v>
      </c>
      <c r="P49" s="76" t="s">
        <v>331</v>
      </c>
      <c r="Q49" s="76"/>
      <c r="R49" s="76">
        <v>7</v>
      </c>
    </row>
    <row r="50" spans="1:18" x14ac:dyDescent="0.25">
      <c r="B50" s="388"/>
      <c r="C50" s="388">
        <f>H49</f>
        <v>0</v>
      </c>
      <c r="D50" s="374" t="s">
        <v>16</v>
      </c>
      <c r="E50" s="418">
        <f>Tabelle1!$I$105</f>
        <v>0</v>
      </c>
      <c r="F50" s="844" t="s">
        <v>300</v>
      </c>
      <c r="G50" s="844"/>
      <c r="H50" s="388">
        <f>ROUND(C50-C50*E50%,2)</f>
        <v>0</v>
      </c>
      <c r="J50" s="384"/>
      <c r="N50" s="433" t="str">
        <f>Tabelle1!J92</f>
        <v>Blockhaus 6,00 - 7,49 cm</v>
      </c>
      <c r="P50" s="76" t="s">
        <v>332</v>
      </c>
      <c r="Q50" s="76"/>
      <c r="R50" s="76">
        <v>10</v>
      </c>
    </row>
    <row r="51" spans="1:18" x14ac:dyDescent="0.25">
      <c r="C51" s="388">
        <f>H50</f>
        <v>0</v>
      </c>
      <c r="D51" s="379" t="s">
        <v>18</v>
      </c>
      <c r="E51" s="372">
        <f>H7/100</f>
        <v>1.7919999999999998</v>
      </c>
      <c r="F51" s="379" t="s">
        <v>436</v>
      </c>
      <c r="G51" s="379"/>
      <c r="H51" s="388">
        <f>ROUND(C51*E51,2)</f>
        <v>0</v>
      </c>
      <c r="J51" s="384"/>
      <c r="N51" s="433" t="str">
        <f>Tabelle1!J93</f>
        <v>Blockhaus 7,50 - 8,99 cm</v>
      </c>
    </row>
    <row r="52" spans="1:18" ht="15.75" thickBot="1" x14ac:dyDescent="0.3">
      <c r="A52" s="398"/>
      <c r="B52" s="372" t="s">
        <v>185</v>
      </c>
      <c r="C52" s="388">
        <f>$H$51</f>
        <v>0</v>
      </c>
      <c r="D52" s="399" t="s">
        <v>9</v>
      </c>
      <c r="E52" s="384">
        <f>ROUND(A52*C52,2)</f>
        <v>0</v>
      </c>
      <c r="F52" s="287"/>
      <c r="G52" s="287"/>
      <c r="H52" s="287"/>
      <c r="I52" s="378" t="s">
        <v>158</v>
      </c>
      <c r="J52" s="414" t="str">
        <f>$B$21</f>
        <v>A1</v>
      </c>
      <c r="K52" s="384">
        <f>E52</f>
        <v>0</v>
      </c>
      <c r="N52" s="433" t="str">
        <f>Tabelle1!J94</f>
        <v xml:space="preserve">Blockhaus ab 9,0 cm </v>
      </c>
    </row>
    <row r="53" spans="1:18" ht="14.45" customHeight="1" thickBot="1" x14ac:dyDescent="0.3">
      <c r="A53" s="406" t="s">
        <v>186</v>
      </c>
      <c r="I53" s="372" t="s">
        <v>296</v>
      </c>
      <c r="J53" s="436"/>
      <c r="K53" s="437">
        <f>SUM(K14:K52)</f>
        <v>0</v>
      </c>
      <c r="N53" s="438" t="str">
        <f>Tabelle1!J95</f>
        <v>Doppelt Holz 10,01 - 14,99 cm</v>
      </c>
    </row>
    <row r="54" spans="1:18" x14ac:dyDescent="0.25">
      <c r="K54" s="372" t="s">
        <v>561</v>
      </c>
      <c r="N54" s="438" t="str">
        <f>Tabelle1!J96</f>
        <v xml:space="preserve">Doppelt Holz 15,00 - 19,99 cm </v>
      </c>
    </row>
    <row r="55" spans="1:18" ht="18.600000000000001" customHeight="1" x14ac:dyDescent="0.25">
      <c r="A55" s="566" t="s">
        <v>550</v>
      </c>
      <c r="B55" s="566"/>
      <c r="C55" s="566"/>
      <c r="D55" s="569"/>
      <c r="E55" s="478"/>
      <c r="F55" s="478"/>
      <c r="G55" s="478"/>
      <c r="H55" s="478"/>
      <c r="N55" s="438" t="str">
        <f>Tabelle1!J97</f>
        <v>Doppelt Holz ab 20,00 cm</v>
      </c>
    </row>
    <row r="56" spans="1:18" x14ac:dyDescent="0.25">
      <c r="A56" s="849" t="s">
        <v>1</v>
      </c>
      <c r="B56" s="850"/>
      <c r="C56" s="850"/>
      <c r="D56" s="858">
        <f>Formalien!$E$3</f>
        <v>0</v>
      </c>
      <c r="E56" s="859"/>
      <c r="F56" s="806"/>
      <c r="G56" s="806"/>
      <c r="H56" s="363" t="s">
        <v>3</v>
      </c>
      <c r="I56" s="369">
        <f>Formalien!$E$4</f>
        <v>0</v>
      </c>
      <c r="J56" s="1"/>
      <c r="K56" s="1"/>
      <c r="N56" s="438"/>
    </row>
    <row r="57" spans="1:18" x14ac:dyDescent="0.25">
      <c r="A57" s="849" t="s">
        <v>65</v>
      </c>
      <c r="B57" s="795"/>
      <c r="C57" s="795"/>
      <c r="D57" s="366">
        <f>Formalien!$E$16</f>
        <v>0</v>
      </c>
      <c r="E57" s="364" t="s">
        <v>61</v>
      </c>
      <c r="F57" s="365"/>
      <c r="G57" s="341"/>
      <c r="H57" s="341"/>
      <c r="I57" s="856"/>
      <c r="J57" s="806"/>
      <c r="K57" s="806"/>
      <c r="N57" s="438"/>
    </row>
    <row r="58" spans="1:18" x14ac:dyDescent="0.25">
      <c r="A58" s="849" t="s">
        <v>0</v>
      </c>
      <c r="B58" s="795"/>
      <c r="C58" s="795"/>
      <c r="D58" s="861">
        <f>Formalien!$E$6</f>
        <v>0</v>
      </c>
      <c r="E58" s="806"/>
      <c r="F58" s="806"/>
      <c r="G58" s="806"/>
      <c r="H58" s="344"/>
      <c r="I58" s="345"/>
      <c r="J58" s="1"/>
      <c r="K58" s="1"/>
      <c r="N58" s="433" t="str">
        <f>Tabelle1!J98</f>
        <v xml:space="preserve">Blockhaus bis 3,00 cm </v>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v>0</v>
      </c>
      <c r="N61" s="433" t="str">
        <f>Tabelle1!J99</f>
        <v>Blockhaus 3,01 - 4,99 cm</v>
      </c>
    </row>
    <row r="62" spans="1:18" x14ac:dyDescent="0.25">
      <c r="A62" s="830" t="s">
        <v>15</v>
      </c>
      <c r="B62" s="830"/>
      <c r="C62" s="830"/>
      <c r="D62" s="830"/>
      <c r="E62" s="378" t="s">
        <v>5</v>
      </c>
      <c r="F62" s="440" t="s">
        <v>363</v>
      </c>
      <c r="H62" s="374"/>
      <c r="J62"/>
      <c r="L62" s="829" t="s">
        <v>441</v>
      </c>
      <c r="M62" s="829"/>
      <c r="N62" s="433" t="str">
        <f>Tabelle1!J100</f>
        <v>Blockhaus ab 5,00 cm</v>
      </c>
    </row>
    <row r="63" spans="1:18" x14ac:dyDescent="0.25">
      <c r="A63" s="375" t="s">
        <v>142</v>
      </c>
      <c r="D63" s="372" t="s">
        <v>14</v>
      </c>
      <c r="E63" s="441">
        <v>0</v>
      </c>
      <c r="F63" s="372" t="s">
        <v>16</v>
      </c>
      <c r="G63" s="442">
        <f>IF(E63&gt;0,E14,0)</f>
        <v>0</v>
      </c>
      <c r="H63" s="374" t="s">
        <v>301</v>
      </c>
      <c r="I63" s="436">
        <f>ROUND(E63-E63*G63%,2)</f>
        <v>0</v>
      </c>
      <c r="L63" s="829"/>
      <c r="M63" s="829"/>
      <c r="N63" s="433" t="str">
        <f>Tabelle1!J101</f>
        <v>Doppelwand bis 4,00 cm</v>
      </c>
    </row>
    <row r="64" spans="1:18" x14ac:dyDescent="0.25">
      <c r="C64" s="443"/>
      <c r="D64" s="372" t="s">
        <v>16</v>
      </c>
      <c r="E64" s="372">
        <f>IF(C64&gt;0,E15,0)</f>
        <v>0</v>
      </c>
      <c r="F64" s="844" t="s">
        <v>297</v>
      </c>
      <c r="G64" s="844"/>
      <c r="H64" s="844"/>
      <c r="I64" s="373">
        <f>ROUND(C64-C64*E64%,2)</f>
        <v>0</v>
      </c>
      <c r="L64" s="829"/>
      <c r="M64" s="829"/>
      <c r="N64" s="433" t="str">
        <f>Tabelle1!J102</f>
        <v xml:space="preserve">Doppelwand 4,01 - 8,00 cm </v>
      </c>
    </row>
    <row r="65" spans="1:15" ht="15" customHeight="1" x14ac:dyDescent="0.25">
      <c r="C65" s="443"/>
      <c r="F65" s="376"/>
      <c r="G65" s="376"/>
      <c r="H65" s="376"/>
      <c r="I65" s="373"/>
      <c r="L65" s="829"/>
      <c r="M65" s="829"/>
      <c r="N65" s="433" t="str">
        <f>Tabelle1!J103</f>
        <v>Doppelwand 8,01 - 10,00 cm</v>
      </c>
    </row>
    <row r="66" spans="1:15" ht="15.75" thickBot="1" x14ac:dyDescent="0.3">
      <c r="A66" s="444" t="s">
        <v>143</v>
      </c>
      <c r="B66" s="287"/>
      <c r="C66" s="288" t="s">
        <v>140</v>
      </c>
      <c r="D66" s="288"/>
      <c r="E66" s="445"/>
      <c r="F66" s="835" t="s">
        <v>184</v>
      </c>
      <c r="G66" s="835"/>
      <c r="H66" s="445">
        <v>0</v>
      </c>
      <c r="I66" s="288" t="s">
        <v>211</v>
      </c>
      <c r="L66" s="829"/>
      <c r="M66" s="829"/>
      <c r="N66" s="446" t="str">
        <f>Tabelle1!J104</f>
        <v>fehlt</v>
      </c>
    </row>
    <row r="67" spans="1:15" x14ac:dyDescent="0.25">
      <c r="A67" s="444" t="s">
        <v>292</v>
      </c>
      <c r="B67" s="831" t="s">
        <v>302</v>
      </c>
      <c r="C67" s="831"/>
      <c r="D67" s="288" t="s">
        <v>14</v>
      </c>
      <c r="E67" s="447">
        <f>IF(B67=N67,O67,IF(B67=N68,O68,IF(B67=N70,O70)))</f>
        <v>0</v>
      </c>
      <c r="F67" s="288" t="s">
        <v>16</v>
      </c>
      <c r="G67" s="448">
        <v>0</v>
      </c>
      <c r="H67" s="293" t="s">
        <v>141</v>
      </c>
      <c r="I67" s="449">
        <f>ROUND(E67-E67*G67,2)</f>
        <v>0</v>
      </c>
      <c r="L67" s="829"/>
      <c r="M67" s="829"/>
      <c r="N67" s="450" t="s">
        <v>291</v>
      </c>
      <c r="O67" s="116">
        <v>175</v>
      </c>
    </row>
    <row r="68" spans="1:15" ht="15.75" thickBot="1" x14ac:dyDescent="0.3">
      <c r="A68" s="288"/>
      <c r="B68" s="288"/>
      <c r="C68" s="288"/>
      <c r="D68" s="451">
        <f>I67</f>
        <v>0</v>
      </c>
      <c r="E68" s="288" t="s">
        <v>16</v>
      </c>
      <c r="F68" s="288"/>
      <c r="G68" s="288">
        <v>100</v>
      </c>
      <c r="H68" s="288" t="s">
        <v>342</v>
      </c>
      <c r="I68" s="449">
        <f>ROUND(D68-D68*G68%,2)</f>
        <v>0</v>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v>0</v>
      </c>
      <c r="D70" s="288"/>
      <c r="E70" s="288">
        <f>$H$7/100</f>
        <v>1.7919999999999998</v>
      </c>
      <c r="F70" s="453" t="s">
        <v>13</v>
      </c>
      <c r="G70" s="288"/>
      <c r="H70" s="454" t="s">
        <v>9</v>
      </c>
      <c r="I70" s="449">
        <f>ROUND(C70*E70,2)</f>
        <v>0</v>
      </c>
      <c r="J70" s="455"/>
      <c r="L70" s="829"/>
      <c r="M70" s="829"/>
      <c r="N70" s="456" t="s">
        <v>302</v>
      </c>
    </row>
    <row r="71" spans="1:15" x14ac:dyDescent="0.25">
      <c r="A71" s="288" t="s">
        <v>442</v>
      </c>
      <c r="B71" s="288"/>
      <c r="C71" s="288"/>
      <c r="D71" s="288"/>
      <c r="E71" s="288"/>
      <c r="F71" s="445">
        <v>0</v>
      </c>
      <c r="G71" s="288" t="s">
        <v>17</v>
      </c>
      <c r="H71" s="451">
        <f>I70</f>
        <v>0</v>
      </c>
      <c r="I71" s="457" t="s">
        <v>9</v>
      </c>
      <c r="K71" s="458">
        <f>ROUND(F71*H71,2)</f>
        <v>0</v>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460">
        <f>C74*3</f>
        <v>0</v>
      </c>
      <c r="D75" s="836" t="s">
        <v>303</v>
      </c>
      <c r="E75" s="836"/>
      <c r="F75" s="845">
        <f>ROUND(F74-F74*C75/100,2)</f>
        <v>470</v>
      </c>
      <c r="G75" s="845"/>
      <c r="H75" s="407" t="s">
        <v>49</v>
      </c>
      <c r="I75" s="461"/>
      <c r="J75" s="372" t="s">
        <v>26</v>
      </c>
      <c r="K75" s="458">
        <f>IF(E76 ="fehlt",0,ROUND(F75*I75,2))</f>
        <v>0</v>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46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373">
        <f>IF(G78&gt;0,MIN(2200,C79),0)</f>
        <v>0</v>
      </c>
      <c r="F79" s="372" t="s">
        <v>181</v>
      </c>
      <c r="H79" s="565">
        <f>G78/100*3</f>
        <v>0</v>
      </c>
      <c r="I79" s="372" t="s">
        <v>182</v>
      </c>
      <c r="J79" s="399" t="s">
        <v>9</v>
      </c>
      <c r="K79" s="458">
        <f>IF(C79&gt;74,ROUND(E79-E79*H79,2),0)</f>
        <v>0</v>
      </c>
      <c r="N79" s="464" t="s">
        <v>339</v>
      </c>
    </row>
    <row r="80" spans="1:15" ht="15.75" thickBot="1" x14ac:dyDescent="0.3">
      <c r="A80"/>
      <c r="B80"/>
      <c r="C80"/>
      <c r="D80"/>
      <c r="E80"/>
      <c r="F80"/>
      <c r="G80"/>
      <c r="H80"/>
      <c r="I80"/>
      <c r="J80"/>
      <c r="K80" s="459"/>
      <c r="N80" s="465">
        <f>SUM(K61:K77)</f>
        <v>0</v>
      </c>
    </row>
    <row r="81" spans="1:11" ht="16.5" thickTop="1" thickBot="1" x14ac:dyDescent="0.3">
      <c r="A81" s="846" t="s">
        <v>33</v>
      </c>
      <c r="B81" s="846"/>
      <c r="C81" s="846"/>
      <c r="D81" s="846"/>
      <c r="E81" s="846"/>
      <c r="F81" s="846"/>
      <c r="G81" s="846"/>
      <c r="H81" s="846"/>
      <c r="I81" s="846"/>
      <c r="J81" s="847"/>
      <c r="K81" s="466">
        <f>K52+K61+K71+K75+K77+K79</f>
        <v>0</v>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853">
        <f>A17+A26+A35+A52</f>
        <v>0</v>
      </c>
      <c r="G101" s="806"/>
      <c r="H101" s="609" t="s">
        <v>79</v>
      </c>
      <c r="I101" s="376"/>
      <c r="J101" s="376"/>
    </row>
    <row r="102" spans="1:15" ht="19.899999999999999" customHeight="1" thickBot="1" x14ac:dyDescent="0.3">
      <c r="A102" s="603" t="str">
        <f>IF(E76=("fehlt"),("Genehmigte Abwassersammelgrube ohne Bewertung, da ein zeitnahes Dichtigkeitsgutachten fehlt, siehe auch Anlage IV, Blatt 3."),("."))</f>
        <v>.</v>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610">
        <v>5</v>
      </c>
      <c r="G104" s="613">
        <v>50</v>
      </c>
      <c r="H104" s="612">
        <f>SUM(F104*G104)</f>
        <v>250</v>
      </c>
      <c r="J104" s="594"/>
      <c r="M104" s="820" t="s">
        <v>304</v>
      </c>
      <c r="N104" s="821"/>
      <c r="O104" s="822"/>
    </row>
    <row r="105" spans="1:15" ht="19.899999999999999" customHeight="1" thickBot="1" x14ac:dyDescent="0.3">
      <c r="A105" s="375" t="s">
        <v>609</v>
      </c>
      <c r="B105" s="790" t="s">
        <v>634</v>
      </c>
      <c r="C105" s="790"/>
      <c r="D105" s="790"/>
      <c r="E105" s="790"/>
      <c r="F105" s="704"/>
      <c r="G105" s="705"/>
      <c r="H105" s="706">
        <v>150</v>
      </c>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v>0</v>
      </c>
      <c r="D108" s="841"/>
      <c r="E108" s="372" t="s">
        <v>121</v>
      </c>
      <c r="F108" s="851">
        <f>Formalien!$E$12</f>
        <v>0</v>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8">
    <dataValidation type="list" allowBlank="1" showInputMessage="1" showErrorMessage="1" sqref="E63" xr:uid="{00000000-0002-0000-0200-000000000000}">
      <formula1>"0,275,225,175"</formula1>
    </dataValidation>
    <dataValidation type="date" operator="greaterThan" allowBlank="1" showInputMessage="1" showErrorMessage="1" sqref="D76" xr:uid="{00000000-0002-0000-0200-000001000000}">
      <formula1>7306</formula1>
    </dataValidation>
    <dataValidation type="list" allowBlank="1" showInputMessage="1" showErrorMessage="1" sqref="K77" xr:uid="{00000000-0002-0000-0200-000005000000}">
      <formula1>"-100"</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s>
  <pageMargins left="0.78740157480314965" right="0.19685039370078741" top="0.78740157480314965" bottom="0.78740157480314965" header="0.31496062992125984" footer="0.31496062992125984"/>
  <pageSetup paperSize="9" scale="86"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t="str">
        <f>"Kleingartenanlage: "&amp;Formalien!$E$3</f>
        <v xml:space="preserve">Kleingartenanlage: </v>
      </c>
      <c r="B1" s="916"/>
      <c r="C1" s="916"/>
      <c r="D1" s="554" t="s">
        <v>519</v>
      </c>
      <c r="E1" s="913">
        <f>Formalien!$E$4</f>
        <v>0</v>
      </c>
      <c r="F1" s="914"/>
    </row>
    <row r="2" spans="1:8" ht="15.75" thickBot="1" x14ac:dyDescent="0.3">
      <c r="A2" s="555" t="s">
        <v>176</v>
      </c>
      <c r="B2" s="80"/>
      <c r="C2" s="80"/>
      <c r="D2" s="80"/>
      <c r="E2" s="917">
        <f>Formalien!$E$5</f>
        <v>0</v>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892"/>
    </row>
    <row r="6" spans="1:8" x14ac:dyDescent="0.25">
      <c r="A6" s="897"/>
      <c r="C6" s="510" t="s">
        <v>223</v>
      </c>
      <c r="D6" s="511" t="s">
        <v>224</v>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511" t="s">
        <v>238</v>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875"/>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875"/>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510" t="s">
        <v>249</v>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875"/>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875"/>
    </row>
    <row r="25" spans="1:6" x14ac:dyDescent="0.25">
      <c r="A25" s="897"/>
      <c r="C25" s="510" t="s">
        <v>258</v>
      </c>
      <c r="D25" s="511" t="s">
        <v>257</v>
      </c>
      <c r="E25" s="902"/>
      <c r="F25" s="895"/>
    </row>
    <row r="26" spans="1:6" x14ac:dyDescent="0.25">
      <c r="A26" s="897"/>
      <c r="C26" s="510" t="s">
        <v>259</v>
      </c>
      <c r="D26" s="511" t="s">
        <v>260</v>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905"/>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910"/>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521" t="s">
        <v>270</v>
      </c>
      <c r="D34" s="532" t="s">
        <v>269</v>
      </c>
      <c r="E34" s="873">
        <v>0.05</v>
      </c>
      <c r="F34" s="875"/>
    </row>
    <row r="35" spans="1:7" x14ac:dyDescent="0.25">
      <c r="A35" s="897"/>
      <c r="C35" s="525" t="s">
        <v>271</v>
      </c>
      <c r="D35" s="526" t="s">
        <v>272</v>
      </c>
      <c r="E35" s="902"/>
      <c r="F35" s="895"/>
    </row>
    <row r="36" spans="1:7" x14ac:dyDescent="0.25">
      <c r="A36" s="897"/>
      <c r="C36" s="525" t="s">
        <v>273</v>
      </c>
      <c r="D36" s="526" t="s">
        <v>274</v>
      </c>
      <c r="E36" s="902"/>
      <c r="F36" s="895"/>
    </row>
    <row r="37" spans="1:7" x14ac:dyDescent="0.25">
      <c r="A37" s="897"/>
      <c r="C37" s="525" t="s">
        <v>275</v>
      </c>
      <c r="D37" s="526" t="s">
        <v>276</v>
      </c>
      <c r="E37" s="902"/>
      <c r="F37" s="895"/>
    </row>
    <row r="38" spans="1:7" x14ac:dyDescent="0.25">
      <c r="A38" s="897"/>
      <c r="C38" s="525" t="s">
        <v>277</v>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875"/>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530"/>
    </row>
    <row r="43" spans="1:7" ht="14.45" customHeight="1" thickBot="1" x14ac:dyDescent="0.3">
      <c r="A43" s="882" t="s">
        <v>134</v>
      </c>
      <c r="B43" s="883"/>
      <c r="C43" s="87"/>
      <c r="D43" s="82"/>
      <c r="E43" s="531">
        <v>0.1</v>
      </c>
      <c r="F43" s="530"/>
    </row>
    <row r="44" spans="1:7" ht="39.75" customHeight="1" thickBot="1" x14ac:dyDescent="0.3">
      <c r="A44" s="877" t="s">
        <v>627</v>
      </c>
      <c r="B44" s="878"/>
      <c r="C44" s="878"/>
      <c r="D44" s="878"/>
      <c r="E44" s="557" t="s">
        <v>289</v>
      </c>
      <c r="F44" s="558">
        <v>0.05</v>
      </c>
    </row>
    <row r="45" spans="1:7" ht="15.75" thickBot="1" x14ac:dyDescent="0.3">
      <c r="A45" s="879" t="s">
        <v>353</v>
      </c>
      <c r="B45" s="879"/>
      <c r="C45" s="879"/>
      <c r="D45" s="879"/>
      <c r="F45" s="556"/>
    </row>
    <row r="46" spans="1:7" ht="15.75" thickBot="1" x14ac:dyDescent="0.3">
      <c r="A46" s="168"/>
      <c r="B46" s="168"/>
      <c r="C46" s="168"/>
      <c r="E46" s="79" t="s">
        <v>288</v>
      </c>
      <c r="F46" s="588">
        <f>SUM(F2:F45)</f>
        <v>0.05</v>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c>
      <c r="E2" s="795"/>
      <c r="F2" s="795"/>
      <c r="G2" s="795"/>
      <c r="K2" s="364" t="s">
        <v>519</v>
      </c>
      <c r="L2" s="619">
        <f>Formalien!$E$4</f>
      </c>
    </row>
    <row r="3" spans="1:22" s="331" customFormat="1" ht="15.6" customHeight="1" x14ac:dyDescent="0.25">
      <c r="A3" s="364" t="s">
        <v>65</v>
      </c>
      <c r="B3" s="371"/>
      <c r="C3" s="371"/>
      <c r="D3" s="371"/>
      <c r="E3" s="537">
        <f>Formalien!$E$16</f>
      </c>
      <c r="F3" s="927" t="s">
        <v>557</v>
      </c>
      <c r="G3" s="928"/>
      <c r="H3" s="928"/>
      <c r="I3" s="928"/>
      <c r="J3" s="617">
        <f>(E3-24)/100*6</f>
      </c>
      <c r="K3" s="338" t="s">
        <v>79</v>
      </c>
    </row>
    <row r="4" spans="1:22" s="331" customFormat="1" ht="15.6" customHeight="1" x14ac:dyDescent="0.25">
      <c r="A4" s="364" t="s">
        <v>0</v>
      </c>
      <c r="B4" s="371"/>
      <c r="C4" s="371"/>
      <c r="D4" s="371"/>
      <c r="E4" s="930">
        <f>Formalien!$E$6</f>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939"/>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c r="B15" s="579"/>
      <c r="C15" s="955"/>
      <c r="D15" s="955"/>
      <c r="E15" s="955"/>
      <c r="F15" s="955"/>
      <c r="G15" s="955"/>
      <c r="H15" s="955"/>
      <c r="I15" s="955"/>
      <c r="J15" s="955"/>
      <c r="K15" s="667"/>
      <c r="L15" s="668">
        <f t="shared" ref="L15:L45" si="0">ROUND(A15*K15,2)</f>
      </c>
      <c r="Q15" s="469"/>
      <c r="R15" s="470"/>
      <c r="S15" s="470"/>
      <c r="T15" s="470"/>
      <c r="U15" s="471"/>
      <c r="V15" s="471"/>
    </row>
    <row r="16" spans="1:22" s="367" customFormat="1" ht="18" customHeight="1" x14ac:dyDescent="0.25">
      <c r="A16" s="582"/>
      <c r="B16" s="574"/>
      <c r="C16" s="920"/>
      <c r="D16" s="920"/>
      <c r="E16" s="920"/>
      <c r="F16" s="920"/>
      <c r="G16" s="920"/>
      <c r="H16" s="920"/>
      <c r="I16" s="920"/>
      <c r="J16" s="920"/>
      <c r="K16" s="669"/>
      <c r="L16" s="670">
        <f t="shared" si="0"/>
      </c>
      <c r="Q16" s="469"/>
      <c r="R16" s="470"/>
      <c r="S16" s="470"/>
      <c r="T16" s="470"/>
      <c r="U16" s="472"/>
      <c r="V16" s="472"/>
    </row>
    <row r="17" spans="1:22" s="367" customFormat="1" ht="18" customHeight="1" x14ac:dyDescent="0.25">
      <c r="A17" s="582"/>
      <c r="B17" s="574"/>
      <c r="C17" s="920"/>
      <c r="D17" s="920"/>
      <c r="E17" s="920"/>
      <c r="F17" s="920"/>
      <c r="G17" s="920"/>
      <c r="H17" s="920"/>
      <c r="I17" s="920"/>
      <c r="J17" s="920"/>
      <c r="K17" s="669"/>
      <c r="L17" s="670">
        <f t="shared" si="0"/>
      </c>
      <c r="Q17" s="469"/>
      <c r="R17" s="469"/>
      <c r="T17" s="472"/>
      <c r="U17" s="472"/>
      <c r="V17" s="472"/>
    </row>
    <row r="18" spans="1:22" s="367" customFormat="1" ht="18" customHeight="1" x14ac:dyDescent="0.25">
      <c r="A18" s="582"/>
      <c r="B18" s="574"/>
      <c r="C18" s="920"/>
      <c r="D18" s="920"/>
      <c r="E18" s="920"/>
      <c r="F18" s="920"/>
      <c r="G18" s="920"/>
      <c r="H18" s="920"/>
      <c r="I18" s="920"/>
      <c r="J18" s="920"/>
      <c r="K18" s="669"/>
      <c r="L18" s="670">
        <f t="shared" si="0"/>
      </c>
      <c r="T18" s="472"/>
      <c r="U18" s="472"/>
      <c r="V18" s="472"/>
    </row>
    <row r="19" spans="1:22" s="367" customFormat="1" ht="18" customHeight="1" x14ac:dyDescent="0.25">
      <c r="A19" s="582"/>
      <c r="B19" s="575"/>
      <c r="C19" s="920"/>
      <c r="D19" s="920"/>
      <c r="E19" s="920"/>
      <c r="F19" s="920"/>
      <c r="G19" s="920"/>
      <c r="H19" s="920"/>
      <c r="I19" s="920"/>
      <c r="J19" s="920"/>
      <c r="K19" s="669"/>
      <c r="L19" s="670">
        <f t="shared" si="0"/>
      </c>
    </row>
    <row r="20" spans="1:22" s="367" customFormat="1" ht="18" customHeight="1" x14ac:dyDescent="0.25">
      <c r="A20" s="582"/>
      <c r="B20" s="575"/>
      <c r="C20" s="920"/>
      <c r="D20" s="920"/>
      <c r="E20" s="920"/>
      <c r="F20" s="920"/>
      <c r="G20" s="920"/>
      <c r="H20" s="920"/>
      <c r="I20" s="920"/>
      <c r="J20" s="920"/>
      <c r="K20" s="669"/>
      <c r="L20" s="670">
        <f t="shared" si="0"/>
      </c>
    </row>
    <row r="21" spans="1:22" s="367" customFormat="1" ht="18" customHeight="1" x14ac:dyDescent="0.25">
      <c r="A21" s="582"/>
      <c r="B21" s="575"/>
      <c r="C21" s="920"/>
      <c r="D21" s="920"/>
      <c r="E21" s="920"/>
      <c r="F21" s="920"/>
      <c r="G21" s="920"/>
      <c r="H21" s="920"/>
      <c r="I21" s="920"/>
      <c r="J21" s="920"/>
      <c r="K21" s="669"/>
      <c r="L21" s="670">
        <f t="shared" si="0"/>
      </c>
    </row>
    <row r="22" spans="1:22" s="367" customFormat="1" ht="18" customHeight="1" x14ac:dyDescent="0.25">
      <c r="A22" s="582"/>
      <c r="B22" s="575"/>
      <c r="C22" s="920"/>
      <c r="D22" s="920"/>
      <c r="E22" s="920"/>
      <c r="F22" s="920"/>
      <c r="G22" s="920"/>
      <c r="H22" s="920"/>
      <c r="I22" s="920"/>
      <c r="J22" s="920"/>
      <c r="K22" s="669"/>
      <c r="L22" s="670">
        <f t="shared" si="0"/>
      </c>
    </row>
    <row r="23" spans="1:22" s="473" customFormat="1" ht="18" customHeight="1" x14ac:dyDescent="0.25">
      <c r="A23" s="582"/>
      <c r="B23" s="574"/>
      <c r="C23" s="920"/>
      <c r="D23" s="920"/>
      <c r="E23" s="920"/>
      <c r="F23" s="920"/>
      <c r="G23" s="920"/>
      <c r="H23" s="920"/>
      <c r="I23" s="920"/>
      <c r="J23" s="920"/>
      <c r="K23" s="669"/>
      <c r="L23" s="670">
        <f t="shared" si="0"/>
      </c>
      <c r="O23" s="367"/>
    </row>
    <row r="24" spans="1:22" ht="18" customHeight="1" x14ac:dyDescent="0.25">
      <c r="A24" s="582"/>
      <c r="B24" s="574"/>
      <c r="C24" s="920"/>
      <c r="D24" s="920"/>
      <c r="E24" s="920"/>
      <c r="F24" s="920"/>
      <c r="G24" s="920"/>
      <c r="H24" s="920"/>
      <c r="I24" s="920"/>
      <c r="J24" s="920"/>
      <c r="K24" s="669"/>
      <c r="L24" s="670">
        <f t="shared" si="0"/>
      </c>
      <c r="O24" s="367"/>
    </row>
    <row r="25" spans="1:22" s="367" customFormat="1" ht="18" customHeight="1" x14ac:dyDescent="0.25">
      <c r="A25" s="582"/>
      <c r="B25" s="574"/>
      <c r="C25" s="920"/>
      <c r="D25" s="920"/>
      <c r="E25" s="920"/>
      <c r="F25" s="920"/>
      <c r="G25" s="920"/>
      <c r="H25" s="920"/>
      <c r="I25" s="920"/>
      <c r="J25" s="920"/>
      <c r="K25" s="669"/>
      <c r="L25" s="670">
        <f t="shared" si="0"/>
      </c>
    </row>
    <row r="26" spans="1:22" s="367" customFormat="1" ht="18" customHeight="1" x14ac:dyDescent="0.25">
      <c r="A26" s="582"/>
      <c r="B26" s="574"/>
      <c r="C26" s="920"/>
      <c r="D26" s="920"/>
      <c r="E26" s="920"/>
      <c r="F26" s="920"/>
      <c r="G26" s="920"/>
      <c r="H26" s="920"/>
      <c r="I26" s="920"/>
      <c r="J26" s="920"/>
      <c r="K26" s="669"/>
      <c r="L26" s="670">
        <f t="shared" si="0"/>
      </c>
    </row>
    <row r="27" spans="1:22" s="367" customFormat="1" ht="18" customHeight="1" x14ac:dyDescent="0.25">
      <c r="A27" s="582"/>
      <c r="B27" s="574"/>
      <c r="C27" s="920"/>
      <c r="D27" s="920"/>
      <c r="E27" s="920"/>
      <c r="F27" s="920"/>
      <c r="G27" s="920"/>
      <c r="H27" s="920"/>
      <c r="I27" s="920"/>
      <c r="J27" s="920"/>
      <c r="K27" s="669"/>
      <c r="L27" s="670">
        <f t="shared" si="0"/>
      </c>
    </row>
    <row r="28" spans="1:22" s="367" customFormat="1" ht="18" customHeight="1" x14ac:dyDescent="0.25">
      <c r="A28" s="582"/>
      <c r="B28" s="574"/>
      <c r="C28" s="920"/>
      <c r="D28" s="920"/>
      <c r="E28" s="920"/>
      <c r="F28" s="920"/>
      <c r="G28" s="920"/>
      <c r="H28" s="920"/>
      <c r="I28" s="920"/>
      <c r="J28" s="920"/>
      <c r="K28" s="669"/>
      <c r="L28" s="670">
        <f t="shared" si="0"/>
      </c>
    </row>
    <row r="29" spans="1:22" s="475" customFormat="1" ht="18" customHeight="1" x14ac:dyDescent="0.25">
      <c r="A29" s="582"/>
      <c r="B29" s="574"/>
      <c r="C29" s="920"/>
      <c r="D29" s="920"/>
      <c r="E29" s="920"/>
      <c r="F29" s="920"/>
      <c r="G29" s="920"/>
      <c r="H29" s="920"/>
      <c r="I29" s="920"/>
      <c r="J29" s="920"/>
      <c r="K29" s="669"/>
      <c r="L29" s="670">
        <f t="shared" si="0"/>
      </c>
      <c r="O29" s="367"/>
    </row>
    <row r="30" spans="1:22" s="367" customFormat="1" ht="18" customHeight="1" x14ac:dyDescent="0.25">
      <c r="A30" s="582"/>
      <c r="B30" s="574"/>
      <c r="C30" s="920"/>
      <c r="D30" s="920"/>
      <c r="E30" s="920"/>
      <c r="F30" s="920"/>
      <c r="G30" s="920"/>
      <c r="H30" s="920"/>
      <c r="I30" s="920"/>
      <c r="J30" s="920"/>
      <c r="K30" s="669"/>
      <c r="L30" s="670">
        <f t="shared" si="0"/>
      </c>
    </row>
    <row r="31" spans="1:22" s="367" customFormat="1" ht="18" customHeight="1" x14ac:dyDescent="0.25">
      <c r="A31" s="582"/>
      <c r="B31" s="574"/>
      <c r="C31" s="920"/>
      <c r="D31" s="920"/>
      <c r="E31" s="920"/>
      <c r="F31" s="920"/>
      <c r="G31" s="920"/>
      <c r="H31" s="920"/>
      <c r="I31" s="920"/>
      <c r="J31" s="920"/>
      <c r="K31" s="669"/>
      <c r="L31" s="670">
        <f t="shared" si="0"/>
      </c>
    </row>
    <row r="32" spans="1:22" ht="18" customHeight="1" x14ac:dyDescent="0.25">
      <c r="A32" s="582"/>
      <c r="B32" s="574"/>
      <c r="C32" s="920"/>
      <c r="D32" s="920"/>
      <c r="E32" s="920"/>
      <c r="F32" s="920"/>
      <c r="G32" s="920"/>
      <c r="H32" s="920"/>
      <c r="I32" s="920"/>
      <c r="J32" s="920"/>
      <c r="K32" s="669"/>
      <c r="L32" s="670">
        <f t="shared" si="0"/>
      </c>
      <c r="O32" s="367"/>
    </row>
    <row r="33" spans="1:12" s="367" customFormat="1" ht="18" customHeight="1" x14ac:dyDescent="0.25">
      <c r="A33" s="582"/>
      <c r="B33" s="575"/>
      <c r="C33" s="920"/>
      <c r="D33" s="920"/>
      <c r="E33" s="920"/>
      <c r="F33" s="920"/>
      <c r="G33" s="920"/>
      <c r="H33" s="920"/>
      <c r="I33" s="920"/>
      <c r="J33" s="920"/>
      <c r="K33" s="669"/>
      <c r="L33" s="670">
        <f t="shared" si="0"/>
      </c>
    </row>
    <row r="34" spans="1:12" s="367" customFormat="1" ht="18" customHeight="1" x14ac:dyDescent="0.25">
      <c r="A34" s="582"/>
      <c r="B34" s="575"/>
      <c r="C34" s="920"/>
      <c r="D34" s="920"/>
      <c r="E34" s="920"/>
      <c r="F34" s="920"/>
      <c r="G34" s="920"/>
      <c r="H34" s="920"/>
      <c r="I34" s="920"/>
      <c r="J34" s="920"/>
      <c r="K34" s="669"/>
      <c r="L34" s="670">
        <f t="shared" si="0"/>
      </c>
    </row>
    <row r="35" spans="1:12" s="367" customFormat="1" ht="18" customHeight="1" x14ac:dyDescent="0.25">
      <c r="A35" s="582"/>
      <c r="B35" s="575"/>
      <c r="C35" s="920"/>
      <c r="D35" s="920"/>
      <c r="E35" s="920"/>
      <c r="F35" s="920"/>
      <c r="G35" s="920"/>
      <c r="H35" s="920"/>
      <c r="I35" s="920"/>
      <c r="J35" s="920"/>
      <c r="K35" s="669"/>
      <c r="L35" s="670">
        <f t="shared" si="0"/>
      </c>
    </row>
    <row r="36" spans="1:12" s="367" customFormat="1" ht="18" customHeight="1" x14ac:dyDescent="0.25">
      <c r="A36" s="582"/>
      <c r="B36" s="575"/>
      <c r="C36" s="920"/>
      <c r="D36" s="920"/>
      <c r="E36" s="920"/>
      <c r="F36" s="920"/>
      <c r="G36" s="920"/>
      <c r="H36" s="920"/>
      <c r="I36" s="920"/>
      <c r="J36" s="920"/>
      <c r="K36" s="669"/>
      <c r="L36" s="670">
        <f t="shared" si="0"/>
      </c>
    </row>
    <row r="37" spans="1:12" s="367" customFormat="1" ht="18" customHeight="1" x14ac:dyDescent="0.25">
      <c r="A37" s="582"/>
      <c r="B37" s="575"/>
      <c r="C37" s="920"/>
      <c r="D37" s="920"/>
      <c r="E37" s="920"/>
      <c r="F37" s="920"/>
      <c r="G37" s="920"/>
      <c r="H37" s="920"/>
      <c r="I37" s="920"/>
      <c r="J37" s="920"/>
      <c r="K37" s="669"/>
      <c r="L37" s="670">
        <f t="shared" si="0"/>
      </c>
    </row>
    <row r="38" spans="1:12" s="367" customFormat="1" ht="18" customHeight="1" x14ac:dyDescent="0.25">
      <c r="A38" s="582"/>
      <c r="B38" s="575"/>
      <c r="C38" s="920"/>
      <c r="D38" s="920"/>
      <c r="E38" s="920"/>
      <c r="F38" s="920"/>
      <c r="G38" s="920"/>
      <c r="H38" s="920"/>
      <c r="I38" s="920"/>
      <c r="J38" s="920"/>
      <c r="K38" s="669"/>
      <c r="L38" s="670">
        <f t="shared" si="0"/>
      </c>
    </row>
    <row r="39" spans="1:12" s="367" customFormat="1" ht="18" customHeight="1" x14ac:dyDescent="0.25">
      <c r="A39" s="582"/>
      <c r="B39" s="575"/>
      <c r="C39" s="920"/>
      <c r="D39" s="920"/>
      <c r="E39" s="920"/>
      <c r="F39" s="920"/>
      <c r="G39" s="920"/>
      <c r="H39" s="920"/>
      <c r="I39" s="920"/>
      <c r="J39" s="920"/>
      <c r="K39" s="669"/>
      <c r="L39" s="670">
        <f t="shared" si="0"/>
      </c>
    </row>
    <row r="40" spans="1:12" s="367" customFormat="1" ht="18" customHeight="1" x14ac:dyDescent="0.25">
      <c r="A40" s="582"/>
      <c r="B40" s="575"/>
      <c r="C40" s="924"/>
      <c r="D40" s="925"/>
      <c r="E40" s="925"/>
      <c r="F40" s="925"/>
      <c r="G40" s="925"/>
      <c r="H40" s="925"/>
      <c r="I40" s="925"/>
      <c r="J40" s="926"/>
      <c r="K40" s="669"/>
      <c r="L40" s="670">
        <f t="shared" si="0"/>
      </c>
    </row>
    <row r="41" spans="1:12" s="367" customFormat="1" ht="18" customHeight="1" x14ac:dyDescent="0.25">
      <c r="A41" s="582"/>
      <c r="B41" s="575"/>
      <c r="C41" s="924"/>
      <c r="D41" s="925"/>
      <c r="E41" s="925"/>
      <c r="F41" s="925"/>
      <c r="G41" s="925"/>
      <c r="H41" s="925"/>
      <c r="I41" s="925"/>
      <c r="J41" s="926"/>
      <c r="K41" s="669"/>
      <c r="L41" s="670">
        <f t="shared" si="0"/>
      </c>
    </row>
    <row r="42" spans="1:12" s="367" customFormat="1" ht="18" customHeight="1" x14ac:dyDescent="0.25">
      <c r="A42" s="582"/>
      <c r="B42" s="575"/>
      <c r="C42" s="924"/>
      <c r="D42" s="925"/>
      <c r="E42" s="925"/>
      <c r="F42" s="925"/>
      <c r="G42" s="925"/>
      <c r="H42" s="925"/>
      <c r="I42" s="925"/>
      <c r="J42" s="926"/>
      <c r="K42" s="669"/>
      <c r="L42" s="670">
        <f t="shared" si="0"/>
      </c>
    </row>
    <row r="43" spans="1:12" s="367" customFormat="1" ht="18" customHeight="1" x14ac:dyDescent="0.25">
      <c r="A43" s="582"/>
      <c r="B43" s="575"/>
      <c r="C43" s="924"/>
      <c r="D43" s="925"/>
      <c r="E43" s="925"/>
      <c r="F43" s="925"/>
      <c r="G43" s="925"/>
      <c r="H43" s="925"/>
      <c r="I43" s="925"/>
      <c r="J43" s="926"/>
      <c r="K43" s="669"/>
      <c r="L43" s="670">
        <f t="shared" si="0"/>
      </c>
    </row>
    <row r="44" spans="1:12" s="367" customFormat="1" ht="18" customHeight="1" x14ac:dyDescent="0.25">
      <c r="A44" s="582"/>
      <c r="B44" s="575"/>
      <c r="C44" s="920"/>
      <c r="D44" s="920"/>
      <c r="E44" s="920"/>
      <c r="F44" s="920"/>
      <c r="G44" s="920"/>
      <c r="H44" s="920"/>
      <c r="I44" s="920"/>
      <c r="J44" s="920"/>
      <c r="K44" s="669"/>
      <c r="L44" s="670">
        <f t="shared" ref="L44" si="1">ROUND(A44*K44,2)</f>
      </c>
    </row>
    <row r="45" spans="1:12" s="367" customFormat="1" ht="18" customHeight="1" thickBot="1" x14ac:dyDescent="0.3">
      <c r="A45" s="583"/>
      <c r="B45" s="576"/>
      <c r="C45" s="956"/>
      <c r="D45" s="956"/>
      <c r="E45" s="956"/>
      <c r="F45" s="956"/>
      <c r="G45" s="956"/>
      <c r="H45" s="956"/>
      <c r="I45" s="956"/>
      <c r="J45" s="956"/>
      <c r="K45" s="671"/>
      <c r="L45" s="672">
        <f t="shared" si="0"/>
      </c>
    </row>
    <row r="46" spans="1:12" s="367" customFormat="1" ht="19.899999999999999" customHeight="1" thickBot="1" x14ac:dyDescent="0.3">
      <c r="B46" s="491"/>
      <c r="C46" s="491"/>
      <c r="D46" s="491"/>
      <c r="E46" s="491"/>
      <c r="F46" s="491"/>
      <c r="G46" s="491"/>
      <c r="H46" s="491"/>
      <c r="I46" s="953" t="s">
        <v>544</v>
      </c>
      <c r="J46" s="953"/>
      <c r="K46" s="954"/>
      <c r="L46" s="651">
        <f>SUM(L15:L45)</f>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c>
      <c r="D48" s="795"/>
      <c r="E48" s="538"/>
      <c r="F48" s="538"/>
      <c r="G48" s="539" t="s">
        <v>528</v>
      </c>
      <c r="H48" s="922">
        <f>Formalien!$E$13</f>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c>
      <c r="E2" s="958"/>
      <c r="F2" s="958"/>
      <c r="G2" s="958"/>
      <c r="H2" s="958"/>
      <c r="I2" s="958"/>
      <c r="J2" s="618"/>
      <c r="K2" s="614" t="s">
        <v>519</v>
      </c>
      <c r="L2" s="619">
        <f>Formalien!$E$4</f>
      </c>
    </row>
    <row r="3" spans="1:12" ht="15.6" customHeight="1" x14ac:dyDescent="0.2">
      <c r="A3" s="614" t="s">
        <v>65</v>
      </c>
      <c r="B3" s="615"/>
      <c r="C3" s="615"/>
      <c r="D3" s="615"/>
      <c r="E3" s="616">
        <f>Formalien!$E$16</f>
      </c>
      <c r="F3" s="927"/>
      <c r="G3" s="959"/>
      <c r="H3" s="959"/>
      <c r="I3" s="959"/>
      <c r="J3" s="620"/>
      <c r="K3" s="621"/>
      <c r="L3" s="618"/>
    </row>
    <row r="4" spans="1:12" ht="15.6" customHeight="1" x14ac:dyDescent="0.2">
      <c r="A4" s="614" t="s">
        <v>0</v>
      </c>
      <c r="B4" s="615"/>
      <c r="C4" s="615"/>
      <c r="D4" s="615"/>
      <c r="E4" s="930">
        <f>Formalien!$E$6</f>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c r="B18" s="370"/>
      <c r="C18" s="981"/>
      <c r="D18" s="981"/>
      <c r="E18" s="981"/>
      <c r="F18" s="981"/>
      <c r="G18" s="981"/>
      <c r="H18" s="981"/>
      <c r="I18" s="982"/>
      <c r="J18" s="982"/>
      <c r="K18" s="673"/>
      <c r="L18" s="674">
        <f t="shared" ref="L18:L22" si="0">ROUND(A18*K18,2)</f>
      </c>
    </row>
    <row r="19" spans="1:12" ht="18" customHeight="1" x14ac:dyDescent="0.2">
      <c r="A19" s="584"/>
      <c r="B19" s="577"/>
      <c r="C19" s="960"/>
      <c r="D19" s="960"/>
      <c r="E19" s="960"/>
      <c r="F19" s="960"/>
      <c r="G19" s="960"/>
      <c r="H19" s="960"/>
      <c r="I19" s="961"/>
      <c r="J19" s="961"/>
      <c r="K19" s="675"/>
      <c r="L19" s="666">
        <f t="shared" si="0"/>
      </c>
    </row>
    <row r="20" spans="1:12" ht="18" customHeight="1" x14ac:dyDescent="0.2">
      <c r="A20" s="584"/>
      <c r="B20" s="577"/>
      <c r="C20" s="960"/>
      <c r="D20" s="960"/>
      <c r="E20" s="960"/>
      <c r="F20" s="960"/>
      <c r="G20" s="960"/>
      <c r="H20" s="960"/>
      <c r="I20" s="961"/>
      <c r="J20" s="961"/>
      <c r="K20" s="675"/>
      <c r="L20" s="666">
        <f t="shared" si="0"/>
      </c>
    </row>
    <row r="21" spans="1:12" ht="18" customHeight="1" x14ac:dyDescent="0.2">
      <c r="A21" s="584"/>
      <c r="B21" s="577"/>
      <c r="C21" s="960"/>
      <c r="D21" s="960"/>
      <c r="E21" s="960"/>
      <c r="F21" s="960"/>
      <c r="G21" s="960"/>
      <c r="H21" s="960"/>
      <c r="I21" s="961"/>
      <c r="J21" s="961"/>
      <c r="K21" s="675"/>
      <c r="L21" s="666">
        <f t="shared" si="0"/>
      </c>
    </row>
    <row r="22" spans="1:12" ht="18" customHeight="1" x14ac:dyDescent="0.2">
      <c r="A22" s="584"/>
      <c r="B22" s="577"/>
      <c r="C22" s="960"/>
      <c r="D22" s="960"/>
      <c r="E22" s="960"/>
      <c r="F22" s="960"/>
      <c r="G22" s="960"/>
      <c r="H22" s="960"/>
      <c r="I22" s="961"/>
      <c r="J22" s="961"/>
      <c r="K22" s="675"/>
      <c r="L22" s="666">
        <f t="shared" si="0"/>
      </c>
    </row>
    <row r="23" spans="1:12" ht="18" customHeight="1" x14ac:dyDescent="0.2">
      <c r="A23" s="584"/>
      <c r="B23" s="577"/>
      <c r="C23" s="960"/>
      <c r="D23" s="960"/>
      <c r="E23" s="960"/>
      <c r="F23" s="960"/>
      <c r="G23" s="960"/>
      <c r="H23" s="960"/>
      <c r="I23" s="961"/>
      <c r="J23" s="961"/>
      <c r="K23" s="675"/>
      <c r="L23" s="666">
        <f t="shared" ref="L23:L45" si="1">ROUND(A23*K23,2)</f>
      </c>
    </row>
    <row r="24" spans="1:12" ht="18" customHeight="1" x14ac:dyDescent="0.2">
      <c r="A24" s="584"/>
      <c r="B24" s="577"/>
      <c r="C24" s="960"/>
      <c r="D24" s="960"/>
      <c r="E24" s="960"/>
      <c r="F24" s="960"/>
      <c r="G24" s="960"/>
      <c r="H24" s="960"/>
      <c r="I24" s="961"/>
      <c r="J24" s="961"/>
      <c r="K24" s="675"/>
      <c r="L24" s="666">
        <f t="shared" si="1"/>
      </c>
    </row>
    <row r="25" spans="1:12" ht="18" customHeight="1" x14ac:dyDescent="0.2">
      <c r="A25" s="584"/>
      <c r="B25" s="577"/>
      <c r="C25" s="960"/>
      <c r="D25" s="960"/>
      <c r="E25" s="960"/>
      <c r="F25" s="960"/>
      <c r="G25" s="960"/>
      <c r="H25" s="960"/>
      <c r="I25" s="961"/>
      <c r="J25" s="961"/>
      <c r="K25" s="675"/>
      <c r="L25" s="666">
        <f t="shared" si="1"/>
      </c>
    </row>
    <row r="26" spans="1:12" ht="18" customHeight="1" x14ac:dyDescent="0.2">
      <c r="A26" s="584"/>
      <c r="B26" s="577"/>
      <c r="C26" s="960"/>
      <c r="D26" s="960"/>
      <c r="E26" s="960"/>
      <c r="F26" s="960"/>
      <c r="G26" s="960"/>
      <c r="H26" s="960"/>
      <c r="I26" s="961"/>
      <c r="J26" s="961"/>
      <c r="K26" s="675"/>
      <c r="L26" s="666">
        <f t="shared" si="1"/>
      </c>
    </row>
    <row r="27" spans="1:12" ht="18" customHeight="1" x14ac:dyDescent="0.2">
      <c r="A27" s="584"/>
      <c r="B27" s="577"/>
      <c r="C27" s="960"/>
      <c r="D27" s="960"/>
      <c r="E27" s="960"/>
      <c r="F27" s="960"/>
      <c r="G27" s="960"/>
      <c r="H27" s="960"/>
      <c r="I27" s="961"/>
      <c r="J27" s="961"/>
      <c r="K27" s="675"/>
      <c r="L27" s="666">
        <f t="shared" si="1"/>
      </c>
    </row>
    <row r="28" spans="1:12" ht="18" customHeight="1" x14ac:dyDescent="0.2">
      <c r="A28" s="584"/>
      <c r="B28" s="577"/>
      <c r="C28" s="960"/>
      <c r="D28" s="960"/>
      <c r="E28" s="960"/>
      <c r="F28" s="960"/>
      <c r="G28" s="960"/>
      <c r="H28" s="960"/>
      <c r="I28" s="961"/>
      <c r="J28" s="961"/>
      <c r="K28" s="675"/>
      <c r="L28" s="666">
        <f t="shared" si="1"/>
      </c>
    </row>
    <row r="29" spans="1:12" ht="18" customHeight="1" x14ac:dyDescent="0.2">
      <c r="A29" s="584"/>
      <c r="B29" s="577"/>
      <c r="C29" s="960"/>
      <c r="D29" s="960"/>
      <c r="E29" s="960"/>
      <c r="F29" s="960"/>
      <c r="G29" s="960"/>
      <c r="H29" s="960"/>
      <c r="I29" s="961"/>
      <c r="J29" s="961"/>
      <c r="K29" s="675"/>
      <c r="L29" s="666">
        <f t="shared" si="1"/>
      </c>
    </row>
    <row r="30" spans="1:12" ht="18" customHeight="1" x14ac:dyDescent="0.2">
      <c r="A30" s="584"/>
      <c r="B30" s="577"/>
      <c r="C30" s="960"/>
      <c r="D30" s="960"/>
      <c r="E30" s="960"/>
      <c r="F30" s="960"/>
      <c r="G30" s="960"/>
      <c r="H30" s="960"/>
      <c r="I30" s="961"/>
      <c r="J30" s="961"/>
      <c r="K30" s="675"/>
      <c r="L30" s="666">
        <f t="shared" si="1"/>
      </c>
    </row>
    <row r="31" spans="1:12" ht="18" customHeight="1" x14ac:dyDescent="0.2">
      <c r="A31" s="584"/>
      <c r="B31" s="577"/>
      <c r="C31" s="960"/>
      <c r="D31" s="960"/>
      <c r="E31" s="960"/>
      <c r="F31" s="960"/>
      <c r="G31" s="960"/>
      <c r="H31" s="960"/>
      <c r="I31" s="961"/>
      <c r="J31" s="961"/>
      <c r="K31" s="675"/>
      <c r="L31" s="666">
        <f t="shared" si="1"/>
      </c>
    </row>
    <row r="32" spans="1:12" ht="18" customHeight="1" x14ac:dyDescent="0.2">
      <c r="A32" s="584"/>
      <c r="B32" s="577"/>
      <c r="C32" s="960"/>
      <c r="D32" s="960"/>
      <c r="E32" s="960"/>
      <c r="F32" s="960"/>
      <c r="G32" s="960"/>
      <c r="H32" s="960"/>
      <c r="I32" s="961"/>
      <c r="J32" s="961"/>
      <c r="K32" s="675"/>
      <c r="L32" s="666">
        <f t="shared" si="1"/>
      </c>
    </row>
    <row r="33" spans="1:12" ht="18" customHeight="1" x14ac:dyDescent="0.2">
      <c r="A33" s="584"/>
      <c r="B33" s="577"/>
      <c r="C33" s="960"/>
      <c r="D33" s="960"/>
      <c r="E33" s="960"/>
      <c r="F33" s="960"/>
      <c r="G33" s="960"/>
      <c r="H33" s="960"/>
      <c r="I33" s="961"/>
      <c r="J33" s="961"/>
      <c r="K33" s="675"/>
      <c r="L33" s="666">
        <f t="shared" si="1"/>
      </c>
    </row>
    <row r="34" spans="1:12" ht="18" customHeight="1" x14ac:dyDescent="0.2">
      <c r="A34" s="584"/>
      <c r="B34" s="577"/>
      <c r="C34" s="960"/>
      <c r="D34" s="960"/>
      <c r="E34" s="960"/>
      <c r="F34" s="960"/>
      <c r="G34" s="960"/>
      <c r="H34" s="960"/>
      <c r="I34" s="961"/>
      <c r="J34" s="961"/>
      <c r="K34" s="675"/>
      <c r="L34" s="666">
        <f t="shared" si="1"/>
      </c>
    </row>
    <row r="35" spans="1:12" ht="18" customHeight="1" x14ac:dyDescent="0.2">
      <c r="A35" s="584"/>
      <c r="B35" s="577"/>
      <c r="C35" s="960"/>
      <c r="D35" s="960"/>
      <c r="E35" s="960"/>
      <c r="F35" s="960"/>
      <c r="G35" s="960"/>
      <c r="H35" s="960"/>
      <c r="I35" s="961"/>
      <c r="J35" s="961"/>
      <c r="K35" s="675"/>
      <c r="L35" s="666">
        <f t="shared" si="1"/>
      </c>
    </row>
    <row r="36" spans="1:12" ht="18" customHeight="1" x14ac:dyDescent="0.2">
      <c r="A36" s="584"/>
      <c r="B36" s="577"/>
      <c r="C36" s="960"/>
      <c r="D36" s="960"/>
      <c r="E36" s="960"/>
      <c r="F36" s="960"/>
      <c r="G36" s="960"/>
      <c r="H36" s="960"/>
      <c r="I36" s="961"/>
      <c r="J36" s="961"/>
      <c r="K36" s="675"/>
      <c r="L36" s="666">
        <f t="shared" si="1"/>
      </c>
    </row>
    <row r="37" spans="1:12" ht="18" customHeight="1" x14ac:dyDescent="0.2">
      <c r="A37" s="584"/>
      <c r="B37" s="577"/>
      <c r="C37" s="960"/>
      <c r="D37" s="960"/>
      <c r="E37" s="960"/>
      <c r="F37" s="960"/>
      <c r="G37" s="960"/>
      <c r="H37" s="960"/>
      <c r="I37" s="961"/>
      <c r="J37" s="961"/>
      <c r="K37" s="675"/>
      <c r="L37" s="666">
        <f t="shared" si="1"/>
      </c>
    </row>
    <row r="38" spans="1:12" ht="18" customHeight="1" x14ac:dyDescent="0.2">
      <c r="A38" s="584"/>
      <c r="B38" s="577"/>
      <c r="C38" s="960"/>
      <c r="D38" s="960"/>
      <c r="E38" s="960"/>
      <c r="F38" s="960"/>
      <c r="G38" s="960"/>
      <c r="H38" s="960"/>
      <c r="I38" s="961"/>
      <c r="J38" s="961"/>
      <c r="K38" s="675"/>
      <c r="L38" s="666">
        <f t="shared" si="1"/>
      </c>
    </row>
    <row r="39" spans="1:12" ht="18" customHeight="1" x14ac:dyDescent="0.2">
      <c r="A39" s="584"/>
      <c r="B39" s="577"/>
      <c r="C39" s="960"/>
      <c r="D39" s="960"/>
      <c r="E39" s="960"/>
      <c r="F39" s="960"/>
      <c r="G39" s="960"/>
      <c r="H39" s="960"/>
      <c r="I39" s="961"/>
      <c r="J39" s="961"/>
      <c r="K39" s="675"/>
      <c r="L39" s="666">
        <f t="shared" si="1"/>
      </c>
    </row>
    <row r="40" spans="1:12" ht="18" customHeight="1" x14ac:dyDescent="0.2">
      <c r="A40" s="584"/>
      <c r="B40" s="577"/>
      <c r="C40" s="960"/>
      <c r="D40" s="960"/>
      <c r="E40" s="960"/>
      <c r="F40" s="960"/>
      <c r="G40" s="960"/>
      <c r="H40" s="960"/>
      <c r="I40" s="961"/>
      <c r="J40" s="961"/>
      <c r="K40" s="675"/>
      <c r="L40" s="666">
        <f t="shared" si="1"/>
      </c>
    </row>
    <row r="41" spans="1:12" ht="18" customHeight="1" x14ac:dyDescent="0.2">
      <c r="A41" s="584"/>
      <c r="B41" s="577"/>
      <c r="C41" s="960"/>
      <c r="D41" s="960"/>
      <c r="E41" s="960"/>
      <c r="F41" s="960"/>
      <c r="G41" s="960"/>
      <c r="H41" s="960"/>
      <c r="I41" s="961"/>
      <c r="J41" s="961"/>
      <c r="K41" s="675"/>
      <c r="L41" s="666">
        <f t="shared" si="1"/>
      </c>
    </row>
    <row r="42" spans="1:12" ht="18" customHeight="1" x14ac:dyDescent="0.2">
      <c r="A42" s="584"/>
      <c r="B42" s="577"/>
      <c r="C42" s="960"/>
      <c r="D42" s="960"/>
      <c r="E42" s="960"/>
      <c r="F42" s="960"/>
      <c r="G42" s="960"/>
      <c r="H42" s="960"/>
      <c r="I42" s="961"/>
      <c r="J42" s="961"/>
      <c r="K42" s="675"/>
      <c r="L42" s="666">
        <f t="shared" si="1"/>
      </c>
    </row>
    <row r="43" spans="1:12" ht="18" customHeight="1" x14ac:dyDescent="0.2">
      <c r="A43" s="584"/>
      <c r="B43" s="577"/>
      <c r="C43" s="960"/>
      <c r="D43" s="960"/>
      <c r="E43" s="960"/>
      <c r="F43" s="960"/>
      <c r="G43" s="960"/>
      <c r="H43" s="960"/>
      <c r="I43" s="961"/>
      <c r="J43" s="961"/>
      <c r="K43" s="675"/>
      <c r="L43" s="666">
        <f t="shared" si="1"/>
      </c>
    </row>
    <row r="44" spans="1:12" ht="18" customHeight="1" x14ac:dyDescent="0.2">
      <c r="A44" s="584"/>
      <c r="B44" s="577"/>
      <c r="C44" s="960"/>
      <c r="D44" s="960"/>
      <c r="E44" s="960"/>
      <c r="F44" s="960"/>
      <c r="G44" s="960"/>
      <c r="H44" s="960"/>
      <c r="I44" s="961"/>
      <c r="J44" s="961"/>
      <c r="K44" s="675"/>
      <c r="L44" s="666">
        <f t="shared" si="1"/>
      </c>
    </row>
    <row r="45" spans="1:12" ht="18" customHeight="1" thickBot="1" x14ac:dyDescent="0.25">
      <c r="A45" s="585"/>
      <c r="B45" s="578"/>
      <c r="C45" s="966"/>
      <c r="D45" s="966"/>
      <c r="E45" s="966"/>
      <c r="F45" s="966"/>
      <c r="G45" s="966"/>
      <c r="H45" s="966"/>
      <c r="I45" s="967"/>
      <c r="J45" s="968"/>
      <c r="K45" s="676"/>
      <c r="L45" s="677">
        <f t="shared" si="1"/>
      </c>
    </row>
    <row r="46" spans="1:12" ht="20.100000000000001" customHeight="1" thickBot="1" x14ac:dyDescent="0.3">
      <c r="A46" s="540"/>
      <c r="B46" s="540"/>
      <c r="C46" s="540"/>
      <c r="D46" s="540"/>
      <c r="E46" s="540"/>
      <c r="F46" s="540"/>
      <c r="G46" s="540"/>
      <c r="H46" s="969" t="s">
        <v>545</v>
      </c>
      <c r="I46" s="970"/>
      <c r="J46" s="970"/>
      <c r="K46" s="971"/>
      <c r="L46" s="650">
        <f>SUM(L18:L45)</f>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c>
      <c r="D48" s="795"/>
      <c r="E48" s="538"/>
      <c r="F48" s="921" t="s">
        <v>121</v>
      </c>
      <c r="G48" s="795"/>
      <c r="H48" s="965">
        <f>Formalien!$E$13</f>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c>
      <c r="E2" s="958"/>
      <c r="F2" s="958"/>
      <c r="G2" s="958"/>
      <c r="H2" s="958"/>
      <c r="I2" s="958"/>
      <c r="K2" s="364" t="s">
        <v>519</v>
      </c>
      <c r="L2" s="619">
        <f>Formalien!$E$4</f>
      </c>
    </row>
    <row r="3" spans="1:12" ht="14.45" customHeight="1" x14ac:dyDescent="0.25">
      <c r="A3" s="614" t="s">
        <v>65</v>
      </c>
      <c r="B3" s="615"/>
      <c r="C3" s="615"/>
      <c r="D3" s="371"/>
      <c r="E3" s="537">
        <f>Formalien!$E$16</f>
      </c>
      <c r="F3" s="996"/>
      <c r="G3" s="872"/>
      <c r="H3" s="872"/>
      <c r="I3" s="872"/>
      <c r="J3" s="79"/>
      <c r="K3" s="338"/>
      <c r="L3" s="331"/>
    </row>
    <row r="4" spans="1:12" ht="14.45" customHeight="1" x14ac:dyDescent="0.25">
      <c r="A4" s="614" t="s">
        <v>0</v>
      </c>
      <c r="B4" s="615"/>
      <c r="C4" s="615"/>
      <c r="D4" s="371"/>
      <c r="E4" s="930">
        <f>Formalien!$E$6</f>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c>
    </row>
    <row r="10" spans="1:12" ht="18" customHeight="1" x14ac:dyDescent="0.2">
      <c r="A10" s="658"/>
      <c r="B10" s="659"/>
      <c r="C10" s="993"/>
      <c r="D10" s="993"/>
      <c r="E10" s="993"/>
      <c r="F10" s="993"/>
      <c r="G10" s="993"/>
      <c r="H10" s="993"/>
      <c r="I10" s="993"/>
      <c r="J10" s="993"/>
      <c r="K10" s="678"/>
      <c r="L10" s="679">
        <f t="shared" ref="L10:L45" si="0">ROUND(A10*K10,2)</f>
      </c>
    </row>
    <row r="11" spans="1:12" ht="18" customHeight="1" x14ac:dyDescent="0.2">
      <c r="A11" s="584"/>
      <c r="B11" s="577"/>
      <c r="C11" s="992"/>
      <c r="D11" s="992"/>
      <c r="E11" s="992"/>
      <c r="F11" s="992"/>
      <c r="G11" s="992"/>
      <c r="H11" s="992"/>
      <c r="I11" s="992"/>
      <c r="J11" s="992"/>
      <c r="K11" s="680"/>
      <c r="L11" s="681">
        <f t="shared" si="0"/>
      </c>
    </row>
    <row r="12" spans="1:12" ht="18" customHeight="1" x14ac:dyDescent="0.2">
      <c r="A12" s="584"/>
      <c r="B12" s="577"/>
      <c r="C12" s="992"/>
      <c r="D12" s="992"/>
      <c r="E12" s="992"/>
      <c r="F12" s="992"/>
      <c r="G12" s="992"/>
      <c r="H12" s="992"/>
      <c r="I12" s="992"/>
      <c r="J12" s="992"/>
      <c r="K12" s="680"/>
      <c r="L12" s="681">
        <f t="shared" si="0"/>
      </c>
    </row>
    <row r="13" spans="1:12" ht="18" customHeight="1" x14ac:dyDescent="0.2">
      <c r="A13" s="584"/>
      <c r="B13" s="577"/>
      <c r="C13" s="992"/>
      <c r="D13" s="992"/>
      <c r="E13" s="992"/>
      <c r="F13" s="992"/>
      <c r="G13" s="992"/>
      <c r="H13" s="992"/>
      <c r="I13" s="992"/>
      <c r="J13" s="992"/>
      <c r="K13" s="680"/>
      <c r="L13" s="681">
        <f t="shared" si="0"/>
      </c>
    </row>
    <row r="14" spans="1:12" ht="18" customHeight="1" x14ac:dyDescent="0.2">
      <c r="A14" s="584"/>
      <c r="B14" s="577"/>
      <c r="C14" s="992"/>
      <c r="D14" s="992"/>
      <c r="E14" s="992"/>
      <c r="F14" s="992"/>
      <c r="G14" s="992"/>
      <c r="H14" s="992"/>
      <c r="I14" s="992"/>
      <c r="J14" s="992"/>
      <c r="K14" s="680"/>
      <c r="L14" s="681">
        <f t="shared" si="0"/>
      </c>
    </row>
    <row r="15" spans="1:12" ht="18" customHeight="1" x14ac:dyDescent="0.2">
      <c r="A15" s="584"/>
      <c r="B15" s="577"/>
      <c r="C15" s="992"/>
      <c r="D15" s="992"/>
      <c r="E15" s="992"/>
      <c r="F15" s="992"/>
      <c r="G15" s="992"/>
      <c r="H15" s="992"/>
      <c r="I15" s="992"/>
      <c r="J15" s="992"/>
      <c r="K15" s="680"/>
      <c r="L15" s="681">
        <f t="shared" si="0"/>
      </c>
    </row>
    <row r="16" spans="1:12" ht="18" customHeight="1" x14ac:dyDescent="0.2">
      <c r="A16" s="584"/>
      <c r="B16" s="577"/>
      <c r="C16" s="992"/>
      <c r="D16" s="992"/>
      <c r="E16" s="992"/>
      <c r="F16" s="992"/>
      <c r="G16" s="992"/>
      <c r="H16" s="992"/>
      <c r="I16" s="992"/>
      <c r="J16" s="992"/>
      <c r="K16" s="680"/>
      <c r="L16" s="681">
        <f t="shared" si="0"/>
      </c>
    </row>
    <row r="17" spans="1:12" ht="18" customHeight="1" x14ac:dyDescent="0.2">
      <c r="A17" s="584"/>
      <c r="B17" s="577"/>
      <c r="C17" s="992"/>
      <c r="D17" s="992"/>
      <c r="E17" s="992"/>
      <c r="F17" s="992"/>
      <c r="G17" s="992"/>
      <c r="H17" s="992"/>
      <c r="I17" s="992"/>
      <c r="J17" s="992"/>
      <c r="K17" s="680"/>
      <c r="L17" s="681">
        <f t="shared" si="0"/>
      </c>
    </row>
    <row r="18" spans="1:12" ht="18" customHeight="1" x14ac:dyDescent="0.2">
      <c r="A18" s="584"/>
      <c r="B18" s="577"/>
      <c r="C18" s="992"/>
      <c r="D18" s="992"/>
      <c r="E18" s="992"/>
      <c r="F18" s="992"/>
      <c r="G18" s="992"/>
      <c r="H18" s="992"/>
      <c r="I18" s="992"/>
      <c r="J18" s="992"/>
      <c r="K18" s="680"/>
      <c r="L18" s="681">
        <f t="shared" si="0"/>
      </c>
    </row>
    <row r="19" spans="1:12" ht="18" customHeight="1" x14ac:dyDescent="0.2">
      <c r="A19" s="584"/>
      <c r="B19" s="577"/>
      <c r="C19" s="992"/>
      <c r="D19" s="992"/>
      <c r="E19" s="992"/>
      <c r="F19" s="992"/>
      <c r="G19" s="992"/>
      <c r="H19" s="992"/>
      <c r="I19" s="992"/>
      <c r="J19" s="992"/>
      <c r="K19" s="680"/>
      <c r="L19" s="681">
        <f t="shared" si="0"/>
      </c>
    </row>
    <row r="20" spans="1:12" ht="18" customHeight="1" x14ac:dyDescent="0.2">
      <c r="A20" s="584"/>
      <c r="B20" s="577"/>
      <c r="C20" s="992"/>
      <c r="D20" s="992"/>
      <c r="E20" s="992"/>
      <c r="F20" s="992"/>
      <c r="G20" s="992"/>
      <c r="H20" s="992"/>
      <c r="I20" s="992"/>
      <c r="J20" s="992"/>
      <c r="K20" s="680"/>
      <c r="L20" s="681">
        <f t="shared" si="0"/>
      </c>
    </row>
    <row r="21" spans="1:12" ht="18" customHeight="1" x14ac:dyDescent="0.2">
      <c r="A21" s="584"/>
      <c r="B21" s="577"/>
      <c r="C21" s="992"/>
      <c r="D21" s="992"/>
      <c r="E21" s="992"/>
      <c r="F21" s="992"/>
      <c r="G21" s="992"/>
      <c r="H21" s="992"/>
      <c r="I21" s="992"/>
      <c r="J21" s="992"/>
      <c r="K21" s="680"/>
      <c r="L21" s="681">
        <f t="shared" si="0"/>
      </c>
    </row>
    <row r="22" spans="1:12" ht="18" customHeight="1" x14ac:dyDescent="0.2">
      <c r="A22" s="584"/>
      <c r="B22" s="577"/>
      <c r="C22" s="992"/>
      <c r="D22" s="992"/>
      <c r="E22" s="992"/>
      <c r="F22" s="992"/>
      <c r="G22" s="992"/>
      <c r="H22" s="992"/>
      <c r="I22" s="992"/>
      <c r="J22" s="992"/>
      <c r="K22" s="680"/>
      <c r="L22" s="681">
        <f t="shared" si="0"/>
      </c>
    </row>
    <row r="23" spans="1:12" ht="18" customHeight="1" x14ac:dyDescent="0.2">
      <c r="A23" s="584"/>
      <c r="B23" s="577"/>
      <c r="C23" s="992"/>
      <c r="D23" s="992"/>
      <c r="E23" s="992"/>
      <c r="F23" s="992"/>
      <c r="G23" s="992"/>
      <c r="H23" s="992"/>
      <c r="I23" s="992"/>
      <c r="J23" s="992"/>
      <c r="K23" s="680"/>
      <c r="L23" s="681">
        <f t="shared" si="0"/>
      </c>
    </row>
    <row r="24" spans="1:12" ht="18" customHeight="1" x14ac:dyDescent="0.2">
      <c r="A24" s="584"/>
      <c r="B24" s="577"/>
      <c r="C24" s="992"/>
      <c r="D24" s="992"/>
      <c r="E24" s="992"/>
      <c r="F24" s="992"/>
      <c r="G24" s="992"/>
      <c r="H24" s="992"/>
      <c r="I24" s="992"/>
      <c r="J24" s="992"/>
      <c r="K24" s="680"/>
      <c r="L24" s="681">
        <f t="shared" si="0"/>
      </c>
    </row>
    <row r="25" spans="1:12" ht="18" customHeight="1" x14ac:dyDescent="0.2">
      <c r="A25" s="584"/>
      <c r="B25" s="577"/>
      <c r="C25" s="992"/>
      <c r="D25" s="992"/>
      <c r="E25" s="992"/>
      <c r="F25" s="992"/>
      <c r="G25" s="992"/>
      <c r="H25" s="992"/>
      <c r="I25" s="992"/>
      <c r="J25" s="992"/>
      <c r="K25" s="680"/>
      <c r="L25" s="681">
        <f t="shared" si="0"/>
      </c>
    </row>
    <row r="26" spans="1:12" ht="18" customHeight="1" x14ac:dyDescent="0.2">
      <c r="A26" s="584"/>
      <c r="B26" s="577"/>
      <c r="C26" s="992"/>
      <c r="D26" s="992"/>
      <c r="E26" s="992"/>
      <c r="F26" s="992"/>
      <c r="G26" s="992"/>
      <c r="H26" s="992"/>
      <c r="I26" s="992"/>
      <c r="J26" s="992"/>
      <c r="K26" s="680"/>
      <c r="L26" s="681">
        <f t="shared" si="0"/>
      </c>
    </row>
    <row r="27" spans="1:12" ht="18" customHeight="1" x14ac:dyDescent="0.2">
      <c r="A27" s="584"/>
      <c r="B27" s="577"/>
      <c r="C27" s="992"/>
      <c r="D27" s="992"/>
      <c r="E27" s="992"/>
      <c r="F27" s="992"/>
      <c r="G27" s="992"/>
      <c r="H27" s="992"/>
      <c r="I27" s="992"/>
      <c r="J27" s="992"/>
      <c r="K27" s="680"/>
      <c r="L27" s="681">
        <f t="shared" si="0"/>
      </c>
    </row>
    <row r="28" spans="1:12" ht="18" customHeight="1" x14ac:dyDescent="0.2">
      <c r="A28" s="584"/>
      <c r="B28" s="577"/>
      <c r="C28" s="992"/>
      <c r="D28" s="992"/>
      <c r="E28" s="992"/>
      <c r="F28" s="992"/>
      <c r="G28" s="992"/>
      <c r="H28" s="992"/>
      <c r="I28" s="992"/>
      <c r="J28" s="992"/>
      <c r="K28" s="680"/>
      <c r="L28" s="681">
        <f t="shared" si="0"/>
      </c>
    </row>
    <row r="29" spans="1:12" ht="18" customHeight="1" x14ac:dyDescent="0.2">
      <c r="A29" s="584"/>
      <c r="B29" s="577"/>
      <c r="C29" s="992"/>
      <c r="D29" s="992"/>
      <c r="E29" s="992"/>
      <c r="F29" s="992"/>
      <c r="G29" s="992"/>
      <c r="H29" s="992"/>
      <c r="I29" s="992"/>
      <c r="J29" s="992"/>
      <c r="K29" s="680"/>
      <c r="L29" s="681">
        <f t="shared" si="0"/>
      </c>
    </row>
    <row r="30" spans="1:12" ht="18" customHeight="1" x14ac:dyDescent="0.2">
      <c r="A30" s="584"/>
      <c r="B30" s="577"/>
      <c r="C30" s="992"/>
      <c r="D30" s="992"/>
      <c r="E30" s="992"/>
      <c r="F30" s="992"/>
      <c r="G30" s="992"/>
      <c r="H30" s="992"/>
      <c r="I30" s="992"/>
      <c r="J30" s="992"/>
      <c r="K30" s="680"/>
      <c r="L30" s="681">
        <f t="shared" si="0"/>
      </c>
    </row>
    <row r="31" spans="1:12" ht="18" customHeight="1" x14ac:dyDescent="0.2">
      <c r="A31" s="584"/>
      <c r="B31" s="577"/>
      <c r="C31" s="992"/>
      <c r="D31" s="992"/>
      <c r="E31" s="992"/>
      <c r="F31" s="992"/>
      <c r="G31" s="992"/>
      <c r="H31" s="992"/>
      <c r="I31" s="992"/>
      <c r="J31" s="992"/>
      <c r="K31" s="680"/>
      <c r="L31" s="681">
        <f t="shared" si="0"/>
      </c>
    </row>
    <row r="32" spans="1:12" ht="18" customHeight="1" x14ac:dyDescent="0.2">
      <c r="A32" s="584"/>
      <c r="B32" s="577"/>
      <c r="C32" s="992"/>
      <c r="D32" s="992"/>
      <c r="E32" s="992"/>
      <c r="F32" s="992"/>
      <c r="G32" s="992"/>
      <c r="H32" s="992"/>
      <c r="I32" s="992"/>
      <c r="J32" s="992"/>
      <c r="K32" s="680"/>
      <c r="L32" s="681">
        <f t="shared" si="0"/>
      </c>
    </row>
    <row r="33" spans="1:12" ht="18" customHeight="1" x14ac:dyDescent="0.2">
      <c r="A33" s="584"/>
      <c r="B33" s="577"/>
      <c r="C33" s="992"/>
      <c r="D33" s="992"/>
      <c r="E33" s="992"/>
      <c r="F33" s="992"/>
      <c r="G33" s="992"/>
      <c r="H33" s="992"/>
      <c r="I33" s="992"/>
      <c r="J33" s="992"/>
      <c r="K33" s="680"/>
      <c r="L33" s="681">
        <f t="shared" si="0"/>
      </c>
    </row>
    <row r="34" spans="1:12" ht="18" customHeight="1" x14ac:dyDescent="0.2">
      <c r="A34" s="584"/>
      <c r="B34" s="577"/>
      <c r="C34" s="992"/>
      <c r="D34" s="992"/>
      <c r="E34" s="992"/>
      <c r="F34" s="992"/>
      <c r="G34" s="992"/>
      <c r="H34" s="992"/>
      <c r="I34" s="992"/>
      <c r="J34" s="992"/>
      <c r="K34" s="680"/>
      <c r="L34" s="681">
        <f t="shared" si="0"/>
      </c>
    </row>
    <row r="35" spans="1:12" ht="18" customHeight="1" x14ac:dyDescent="0.2">
      <c r="A35" s="584"/>
      <c r="B35" s="577"/>
      <c r="C35" s="992"/>
      <c r="D35" s="992"/>
      <c r="E35" s="992"/>
      <c r="F35" s="992"/>
      <c r="G35" s="992"/>
      <c r="H35" s="992"/>
      <c r="I35" s="992"/>
      <c r="J35" s="992"/>
      <c r="K35" s="680"/>
      <c r="L35" s="681">
        <f t="shared" si="0"/>
      </c>
    </row>
    <row r="36" spans="1:12" ht="18" customHeight="1" x14ac:dyDescent="0.2">
      <c r="A36" s="584"/>
      <c r="B36" s="577"/>
      <c r="C36" s="992"/>
      <c r="D36" s="992"/>
      <c r="E36" s="992"/>
      <c r="F36" s="992"/>
      <c r="G36" s="992"/>
      <c r="H36" s="992"/>
      <c r="I36" s="992"/>
      <c r="J36" s="992"/>
      <c r="K36" s="680"/>
      <c r="L36" s="681">
        <f t="shared" si="0"/>
      </c>
    </row>
    <row r="37" spans="1:12" ht="18" customHeight="1" x14ac:dyDescent="0.2">
      <c r="A37" s="584"/>
      <c r="B37" s="577"/>
      <c r="C37" s="992"/>
      <c r="D37" s="992"/>
      <c r="E37" s="992"/>
      <c r="F37" s="992"/>
      <c r="G37" s="992"/>
      <c r="H37" s="992"/>
      <c r="I37" s="992"/>
      <c r="J37" s="992"/>
      <c r="K37" s="680"/>
      <c r="L37" s="681">
        <f t="shared" si="0"/>
      </c>
    </row>
    <row r="38" spans="1:12" ht="18" customHeight="1" x14ac:dyDescent="0.2">
      <c r="A38" s="584"/>
      <c r="B38" s="577"/>
      <c r="C38" s="992"/>
      <c r="D38" s="992"/>
      <c r="E38" s="992"/>
      <c r="F38" s="992"/>
      <c r="G38" s="992"/>
      <c r="H38" s="992"/>
      <c r="I38" s="992"/>
      <c r="J38" s="992"/>
      <c r="K38" s="680"/>
      <c r="L38" s="681">
        <f t="shared" si="0"/>
      </c>
    </row>
    <row r="39" spans="1:12" ht="18" customHeight="1" x14ac:dyDescent="0.2">
      <c r="A39" s="584"/>
      <c r="B39" s="577"/>
      <c r="C39" s="992"/>
      <c r="D39" s="992"/>
      <c r="E39" s="992"/>
      <c r="F39" s="992"/>
      <c r="G39" s="992"/>
      <c r="H39" s="992"/>
      <c r="I39" s="992"/>
      <c r="J39" s="992"/>
      <c r="K39" s="680"/>
      <c r="L39" s="681">
        <f t="shared" si="0"/>
      </c>
    </row>
    <row r="40" spans="1:12" ht="18" customHeight="1" x14ac:dyDescent="0.2">
      <c r="A40" s="584"/>
      <c r="B40" s="577"/>
      <c r="C40" s="992"/>
      <c r="D40" s="992"/>
      <c r="E40" s="992"/>
      <c r="F40" s="992"/>
      <c r="G40" s="992"/>
      <c r="H40" s="992"/>
      <c r="I40" s="992"/>
      <c r="J40" s="992"/>
      <c r="K40" s="680"/>
      <c r="L40" s="681">
        <f t="shared" si="0"/>
      </c>
    </row>
    <row r="41" spans="1:12" ht="18" customHeight="1" x14ac:dyDescent="0.2">
      <c r="A41" s="584"/>
      <c r="B41" s="577"/>
      <c r="C41" s="992"/>
      <c r="D41" s="992"/>
      <c r="E41" s="992"/>
      <c r="F41" s="992"/>
      <c r="G41" s="992"/>
      <c r="H41" s="992"/>
      <c r="I41" s="992"/>
      <c r="J41" s="992"/>
      <c r="K41" s="680"/>
      <c r="L41" s="681">
        <f t="shared" si="0"/>
      </c>
    </row>
    <row r="42" spans="1:12" ht="18" customHeight="1" x14ac:dyDescent="0.2">
      <c r="A42" s="584"/>
      <c r="B42" s="577"/>
      <c r="C42" s="992"/>
      <c r="D42" s="992"/>
      <c r="E42" s="992"/>
      <c r="F42" s="992"/>
      <c r="G42" s="992"/>
      <c r="H42" s="992"/>
      <c r="I42" s="992"/>
      <c r="J42" s="992"/>
      <c r="K42" s="680"/>
      <c r="L42" s="681">
        <f t="shared" si="0"/>
      </c>
    </row>
    <row r="43" spans="1:12" ht="18" customHeight="1" x14ac:dyDescent="0.2">
      <c r="A43" s="584"/>
      <c r="B43" s="577"/>
      <c r="C43" s="992"/>
      <c r="D43" s="992"/>
      <c r="E43" s="992"/>
      <c r="F43" s="992"/>
      <c r="G43" s="992"/>
      <c r="H43" s="992"/>
      <c r="I43" s="992"/>
      <c r="J43" s="992"/>
      <c r="K43" s="680"/>
      <c r="L43" s="681">
        <f t="shared" si="0"/>
      </c>
    </row>
    <row r="44" spans="1:12" ht="18" customHeight="1" x14ac:dyDescent="0.2">
      <c r="A44" s="584"/>
      <c r="B44" s="577"/>
      <c r="C44" s="992"/>
      <c r="D44" s="992"/>
      <c r="E44" s="992"/>
      <c r="F44" s="992"/>
      <c r="G44" s="992"/>
      <c r="H44" s="992"/>
      <c r="I44" s="992"/>
      <c r="J44" s="992"/>
      <c r="K44" s="680"/>
      <c r="L44" s="681">
        <f t="shared" si="0"/>
      </c>
    </row>
    <row r="45" spans="1:12" ht="18" customHeight="1" thickBot="1" x14ac:dyDescent="0.25">
      <c r="A45" s="585"/>
      <c r="B45" s="578"/>
      <c r="C45" s="1003"/>
      <c r="D45" s="1003"/>
      <c r="E45" s="1003"/>
      <c r="F45" s="1003"/>
      <c r="G45" s="1003"/>
      <c r="H45" s="1003"/>
      <c r="I45" s="1003"/>
      <c r="J45" s="1003"/>
      <c r="K45" s="682"/>
      <c r="L45" s="683">
        <f t="shared" si="0"/>
      </c>
    </row>
    <row r="46" spans="1:12" ht="16.149999999999999" customHeight="1" thickBot="1" x14ac:dyDescent="0.25">
      <c r="A46" s="330"/>
      <c r="B46" s="330"/>
      <c r="C46" s="330"/>
      <c r="D46" s="330"/>
      <c r="E46" s="330"/>
      <c r="F46" s="330"/>
      <c r="G46" s="330"/>
      <c r="H46" s="330"/>
      <c r="I46" s="1004" t="s">
        <v>546</v>
      </c>
      <c r="J46" s="1004"/>
      <c r="K46" s="1005"/>
      <c r="L46" s="657">
        <f>SUM(L9:L45)</f>
      </c>
    </row>
    <row r="47" spans="1:12" ht="16.899999999999999" customHeight="1" x14ac:dyDescent="0.2"/>
    <row r="48" spans="1:12" ht="16.899999999999999" customHeight="1" x14ac:dyDescent="0.25">
      <c r="A48" s="952" t="s">
        <v>34</v>
      </c>
      <c r="B48" s="952"/>
      <c r="C48" s="921">
        <f>Formalien!$E$15</f>
      </c>
      <c r="D48" s="795"/>
      <c r="E48" s="921" t="s">
        <v>121</v>
      </c>
      <c r="F48" s="795"/>
      <c r="G48" s="773">
        <f>Formalien!$E$13</f>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v>0</v>
      </c>
      <c r="E2" s="859"/>
      <c r="F2" s="363" t="s">
        <v>3</v>
      </c>
      <c r="G2" s="369">
        <f>Formalien!$E$4</f>
        <v>0</v>
      </c>
      <c r="H2" s="369"/>
      <c r="I2" s="340"/>
    </row>
    <row r="3" spans="1:9" ht="15" x14ac:dyDescent="0.25">
      <c r="A3" s="849" t="s">
        <v>65</v>
      </c>
      <c r="B3" s="795"/>
      <c r="C3" s="795"/>
      <c r="D3" s="366">
        <f>Formalien!$E$16</f>
        <v>0</v>
      </c>
      <c r="E3" s="364" t="s">
        <v>61</v>
      </c>
      <c r="F3" s="365"/>
      <c r="G3" s="341"/>
      <c r="H3" s="341"/>
      <c r="I3" s="340"/>
    </row>
    <row r="4" spans="1:9" ht="15" x14ac:dyDescent="0.25">
      <c r="A4" s="849" t="s">
        <v>0</v>
      </c>
      <c r="B4" s="795"/>
      <c r="C4" s="795"/>
      <c r="D4" s="336">
        <f>Formalien!$E$6</f>
        <v>0</v>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v>0</v>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v>0</v>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v>0</v>
      </c>
      <c r="C49" s="1008" t="s">
        <v>197</v>
      </c>
      <c r="D49" s="1008"/>
      <c r="E49" s="40">
        <f>ROUND(E48-E48*B49%,2)</f>
        <v>0</v>
      </c>
      <c r="F49" s="1" t="s">
        <v>115</v>
      </c>
    </row>
    <row r="50" spans="1:6" x14ac:dyDescent="0.2">
      <c r="B50" s="5">
        <f>E49</f>
        <v>0</v>
      </c>
      <c r="C50" s="14" t="s">
        <v>8</v>
      </c>
      <c r="D50" s="204"/>
      <c r="E50" s="1" t="s">
        <v>26</v>
      </c>
      <c r="F50" s="41">
        <f>ROUND(B50*D50,2)</f>
        <v>0</v>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08"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08"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08"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08"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088" t="e">
        <f>#REF!</f>
        <v>#REF!</v>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t="e">
        <f>#REF!</f>
        <v>#REF!</v>
      </c>
      <c r="C45" s="1084" t="e">
        <f>#REF!</f>
        <v>#REF!</v>
      </c>
      <c r="D45" s="1084"/>
      <c r="E45" s="1084"/>
      <c r="F45" s="1" t="e">
        <f>#REF!</f>
        <v>#REF!</v>
      </c>
      <c r="G45" s="105" t="e">
        <f>#REF!</f>
        <v>#REF!</v>
      </c>
      <c r="H45" s="3" t="e">
        <f>#REF!</f>
        <v>#REF!</v>
      </c>
      <c r="I45" s="1060" t="e">
        <f>#REF!</f>
        <v>#REF!</v>
      </c>
      <c r="J45" s="1060"/>
      <c r="K45" s="13"/>
      <c r="W45" s="68"/>
    </row>
    <row r="46" spans="1:24" ht="13.5" thickBot="1" x14ac:dyDescent="0.25">
      <c r="A46" s="21" t="s">
        <v>83</v>
      </c>
      <c r="B46" s="102" t="e">
        <f>#REF!</f>
        <v>#REF!</v>
      </c>
      <c r="C46" s="1084" t="e">
        <f>#REF!</f>
        <v>#REF!</v>
      </c>
      <c r="D46" s="1084"/>
      <c r="E46" s="1084"/>
      <c r="F46" s="1" t="e">
        <f>#REF!</f>
        <v>#REF!</v>
      </c>
      <c r="G46" s="105" t="e">
        <f>#REF!</f>
        <v>#REF!</v>
      </c>
      <c r="H46" s="3" t="e">
        <f>#REF!</f>
        <v>#REF!</v>
      </c>
      <c r="I46" s="1060" t="e">
        <f>#REF!</f>
        <v>#REF!</v>
      </c>
      <c r="J46" s="1060"/>
      <c r="K46" s="13"/>
      <c r="V46" s="112"/>
      <c r="W46" s="112"/>
      <c r="X46" s="8"/>
    </row>
    <row r="47" spans="1:24" ht="13.5" thickBot="1" x14ac:dyDescent="0.25">
      <c r="A47" s="1" t="s">
        <v>84</v>
      </c>
      <c r="B47" s="102" t="e">
        <f>#REF!</f>
        <v>#REF!</v>
      </c>
      <c r="C47" s="1084" t="e">
        <f>#REF!</f>
        <v>#REF!</v>
      </c>
      <c r="D47" s="1084"/>
      <c r="E47" s="1084"/>
      <c r="F47" s="1" t="e">
        <f>#REF!</f>
        <v>#REF!</v>
      </c>
      <c r="G47" s="150" t="e">
        <f>#REF!</f>
        <v>#REF!</v>
      </c>
      <c r="H47" s="3" t="e">
        <f>#REF!</f>
        <v>#REF!</v>
      </c>
      <c r="I47" s="1060" t="e">
        <f>#REF!</f>
        <v>#REF!</v>
      </c>
      <c r="J47" s="1060"/>
      <c r="K47" s="13"/>
      <c r="W47" s="68"/>
    </row>
    <row r="48" spans="1:24" ht="13.5" thickBot="1" x14ac:dyDescent="0.25">
      <c r="A48" s="1" t="s">
        <v>85</v>
      </c>
      <c r="B48" s="102" t="e">
        <f>#REF!</f>
        <v>#REF!</v>
      </c>
      <c r="C48" s="1084" t="e">
        <f>#REF!</f>
        <v>#REF!</v>
      </c>
      <c r="D48" s="1084"/>
      <c r="E48" s="1084"/>
      <c r="F48" s="1" t="e">
        <f>#REF!</f>
        <v>#REF!</v>
      </c>
      <c r="G48" s="150" t="e">
        <f>#REF!</f>
        <v>#REF!</v>
      </c>
      <c r="H48" s="3" t="e">
        <f>#REF!</f>
        <v>#REF!</v>
      </c>
      <c r="I48" s="1060" t="e">
        <f>#REF!</f>
        <v>#REF!</v>
      </c>
      <c r="J48" s="1060"/>
      <c r="K48" s="13"/>
      <c r="V48" s="112"/>
      <c r="W48" s="112"/>
      <c r="X48" s="8"/>
    </row>
    <row r="49" spans="1:24" ht="14.45" customHeight="1" thickBot="1" x14ac:dyDescent="0.25">
      <c r="A49" s="7" t="s">
        <v>187</v>
      </c>
      <c r="B49" s="71" t="e">
        <f>#REF!</f>
        <v>#REF!</v>
      </c>
      <c r="C49" s="72"/>
      <c r="D49" s="72"/>
      <c r="E49" s="1027" t="e">
        <f>#REF!</f>
        <v>#REF!</v>
      </c>
      <c r="F49" s="1027"/>
      <c r="G49" s="1075"/>
      <c r="H49" s="1075"/>
      <c r="I49" s="1076"/>
      <c r="J49" s="106" t="e">
        <f>#REF!</f>
        <v>#REF!</v>
      </c>
      <c r="K49" s="13"/>
      <c r="W49" s="68"/>
    </row>
    <row r="50" spans="1:24" ht="14.45" customHeight="1" thickBot="1" x14ac:dyDescent="0.25">
      <c r="A50" s="7" t="s">
        <v>86</v>
      </c>
      <c r="B50" s="107" t="e">
        <f>#REF!</f>
        <v>#REF!</v>
      </c>
      <c r="C50" s="1077" t="e">
        <f>#REF!</f>
        <v>#REF!</v>
      </c>
      <c r="D50" s="1077"/>
      <c r="E50" s="1078"/>
      <c r="F50" s="1078"/>
      <c r="G50" s="1079"/>
      <c r="H50" s="3" t="e">
        <f>#REF!</f>
        <v>#REF!</v>
      </c>
      <c r="I50" s="1080" t="e">
        <f>#REF!</f>
        <v>#REF!</v>
      </c>
      <c r="J50" s="1081"/>
      <c r="K50" s="13"/>
      <c r="V50" s="112"/>
      <c r="W50" s="112"/>
      <c r="X50" s="8"/>
    </row>
    <row r="51" spans="1:24" ht="14.45" customHeight="1" thickBot="1" x14ac:dyDescent="0.25">
      <c r="A51" s="1" t="s">
        <v>193</v>
      </c>
      <c r="B51" s="113" t="e">
        <f>#REF!</f>
        <v>#REF!</v>
      </c>
      <c r="C51" s="1082" t="e">
        <f>#REF!</f>
        <v>#REF!</v>
      </c>
      <c r="D51" s="1082"/>
      <c r="E51" s="1082"/>
      <c r="F51" s="1082"/>
      <c r="G51" s="1082"/>
      <c r="H51" s="3" t="e">
        <f>#REF!</f>
        <v>#REF!</v>
      </c>
      <c r="I51" s="1083" t="e">
        <f>#REF!</f>
        <v>#REF!</v>
      </c>
      <c r="J51" s="1083"/>
    </row>
    <row r="52" spans="1:24" ht="18" customHeight="1" thickBot="1" x14ac:dyDescent="0.25">
      <c r="A52" s="1" t="s">
        <v>194</v>
      </c>
      <c r="B52" s="110" t="e">
        <f>#REF!</f>
        <v>#REF!</v>
      </c>
      <c r="C52" s="1093" t="e">
        <f>#REF!</f>
        <v>#REF!</v>
      </c>
      <c r="D52" s="1094"/>
      <c r="E52" s="1094"/>
      <c r="F52" s="1094"/>
      <c r="G52" s="1094"/>
      <c r="H52" s="1094"/>
      <c r="I52" s="1094"/>
      <c r="J52" s="1095"/>
      <c r="K52" s="104" t="e">
        <f>#REF!</f>
        <v>#REF!</v>
      </c>
      <c r="V52" s="112"/>
      <c r="W52" s="112"/>
      <c r="X52" s="13"/>
    </row>
    <row r="53" spans="1:24" x14ac:dyDescent="0.2">
      <c r="A53" s="16"/>
      <c r="B53" s="64" t="e">
        <f>#REF!</f>
        <v>#REF!</v>
      </c>
      <c r="C53" s="22"/>
      <c r="D53" s="1068" t="e">
        <f>#REF!</f>
        <v>#REF!</v>
      </c>
      <c r="E53" s="1068"/>
      <c r="F53" s="1068"/>
      <c r="G53" s="1068"/>
      <c r="H53" s="1068"/>
      <c r="I53" s="1068"/>
      <c r="J53" s="1069"/>
      <c r="V53" s="15"/>
      <c r="W53" s="15"/>
      <c r="X53" s="13"/>
    </row>
    <row r="54" spans="1:24" x14ac:dyDescent="0.2">
      <c r="A54" s="23"/>
      <c r="B54" s="1044" t="e">
        <f>#REF!</f>
        <v>#REF!</v>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t="e">
        <f>SUM(I45:J51)+I18+I20+I22+I24</f>
        <v>#REF!</v>
      </c>
      <c r="J61" s="1074"/>
    </row>
    <row r="63" spans="1:24" x14ac:dyDescent="0.2">
      <c r="A63" s="8"/>
    </row>
    <row r="64" spans="1:24" x14ac:dyDescent="0.2">
      <c r="A64" s="8"/>
    </row>
    <row r="65" spans="1:11" ht="14.45" customHeight="1" x14ac:dyDescent="0.2">
      <c r="A65" s="8" t="s">
        <v>137</v>
      </c>
      <c r="B65" s="8"/>
      <c r="C65" s="8"/>
      <c r="H65" s="1008">
        <f>Formalien!$F$5</f>
        <v>0</v>
      </c>
      <c r="I65" s="1008"/>
      <c r="J65" s="1008"/>
      <c r="K65" s="8"/>
    </row>
    <row r="66" spans="1:11" x14ac:dyDescent="0.2">
      <c r="B66" s="1008" t="s">
        <v>1</v>
      </c>
      <c r="C66" s="1008"/>
      <c r="D66" s="1065">
        <f>$E$1</f>
        <v>0</v>
      </c>
      <c r="E66" s="1066"/>
      <c r="F66" s="1066"/>
      <c r="G66" s="3" t="s">
        <v>3</v>
      </c>
      <c r="H66" s="24">
        <f>J2</f>
        <v>0</v>
      </c>
      <c r="I66" s="7"/>
    </row>
    <row r="67" spans="1:11" x14ac:dyDescent="0.2">
      <c r="G67" s="12"/>
      <c r="H67" s="1066"/>
      <c r="I67" s="1066"/>
      <c r="J67" s="1066"/>
    </row>
    <row r="68" spans="1:11" x14ac:dyDescent="0.2">
      <c r="E68" s="1014" t="s">
        <v>351</v>
      </c>
      <c r="F68" s="1014"/>
      <c r="G68" s="1014"/>
      <c r="H68" s="1014"/>
      <c r="I68" s="1060" t="e">
        <f>I61</f>
        <v>#REF!</v>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t="e">
        <f>#REF!</f>
        <v>#REF!</v>
      </c>
      <c r="C70" s="12" t="e">
        <f>#REF!</f>
        <v>#REF!</v>
      </c>
      <c r="E70" s="12"/>
      <c r="F70" s="12"/>
      <c r="G70" s="12"/>
      <c r="H70" s="12"/>
      <c r="I70" s="12"/>
      <c r="J70" s="12"/>
    </row>
    <row r="71" spans="1:11" x14ac:dyDescent="0.2">
      <c r="C71" s="67"/>
      <c r="D71" s="3" t="e">
        <f>#REF!</f>
        <v>#REF!</v>
      </c>
      <c r="E71" s="66" t="e">
        <f>#REF!</f>
        <v>#REF!</v>
      </c>
      <c r="F71" s="1" t="e">
        <f>#REF!</f>
        <v>#REF!</v>
      </c>
      <c r="H71" s="3" t="e">
        <f>#REF!</f>
        <v>#REF!</v>
      </c>
      <c r="I71" s="1060" t="e">
        <f>#REF!</f>
        <v>#REF!</v>
      </c>
      <c r="J71" s="1060"/>
      <c r="K71" s="13"/>
    </row>
    <row r="72" spans="1:11" ht="13.5" thickBot="1" x14ac:dyDescent="0.25">
      <c r="A72" s="1" t="s">
        <v>29</v>
      </c>
      <c r="B72" s="102" t="e">
        <f>#REF!</f>
        <v>#REF!</v>
      </c>
      <c r="C72" s="12" t="e">
        <f>#REF!</f>
        <v>#REF!</v>
      </c>
      <c r="E72" s="66" t="e">
        <f>#REF!</f>
        <v>#REF!</v>
      </c>
      <c r="F72" s="12"/>
      <c r="G72" s="12"/>
      <c r="H72" s="3" t="e">
        <f>#REF!</f>
        <v>#REF!</v>
      </c>
      <c r="I72" s="1060" t="e">
        <f>#REF!</f>
        <v>#REF!</v>
      </c>
      <c r="J72" s="1060"/>
    </row>
    <row r="73" spans="1:11" ht="13.5" thickBot="1" x14ac:dyDescent="0.25">
      <c r="A73" s="1" t="s">
        <v>91</v>
      </c>
      <c r="B73" s="103" t="e">
        <f>#REF!</f>
        <v>#REF!</v>
      </c>
      <c r="C73" s="12" t="e">
        <f>#REF!</f>
        <v>#REF!</v>
      </c>
      <c r="E73" s="66" t="e">
        <f>#REF!</f>
        <v>#REF!</v>
      </c>
      <c r="F73" s="12" t="e">
        <f>#REF!</f>
        <v>#REF!</v>
      </c>
      <c r="G73" s="12"/>
      <c r="H73" s="3" t="e">
        <f>#REF!</f>
        <v>#REF!</v>
      </c>
      <c r="I73" s="1060" t="e">
        <f>#REF!</f>
        <v>#REF!</v>
      </c>
      <c r="J73" s="1060"/>
    </row>
    <row r="74" spans="1:11" ht="13.5" thickBot="1" x14ac:dyDescent="0.25">
      <c r="A74" s="26" t="s">
        <v>92</v>
      </c>
      <c r="B74" s="1052" t="e">
        <f>#REF!</f>
        <v>#REF!</v>
      </c>
      <c r="C74" s="1061"/>
      <c r="D74" s="1061"/>
      <c r="E74" s="1061"/>
      <c r="F74" s="1061"/>
      <c r="G74" s="1062"/>
      <c r="H74" s="3" t="e">
        <f>#REF!</f>
        <v>#REF!</v>
      </c>
      <c r="I74" s="1063" t="e">
        <f>#REF!</f>
        <v>#REF!</v>
      </c>
      <c r="J74" s="1064"/>
      <c r="K74" s="13"/>
    </row>
    <row r="75" spans="1:11" ht="13.5" thickBot="1" x14ac:dyDescent="0.25">
      <c r="A75" s="12" t="s">
        <v>189</v>
      </c>
      <c r="B75" s="1052" t="e">
        <f>#REF!</f>
        <v>#REF!</v>
      </c>
      <c r="C75" s="1053"/>
      <c r="D75" s="1053"/>
      <c r="E75" s="1053"/>
      <c r="F75" s="1053"/>
      <c r="G75" s="1054"/>
      <c r="H75" s="3" t="e">
        <f>#REF!</f>
        <v>#REF!</v>
      </c>
      <c r="I75" s="1055" t="e">
        <f>#REF!</f>
        <v>#REF!</v>
      </c>
      <c r="J75" s="1056"/>
      <c r="K75" s="13"/>
    </row>
    <row r="76" spans="1:11" ht="14.45" customHeight="1" thickBot="1" x14ac:dyDescent="0.25">
      <c r="A76" s="12" t="s">
        <v>190</v>
      </c>
      <c r="B76" s="1052" t="e">
        <f>#REF!</f>
        <v>#REF!</v>
      </c>
      <c r="C76" s="1053"/>
      <c r="D76" s="1053"/>
      <c r="E76" s="1053"/>
      <c r="F76" s="1053"/>
      <c r="G76" s="1054"/>
      <c r="H76" s="3" t="e">
        <f>#REF!</f>
        <v>#REF!</v>
      </c>
      <c r="I76" s="1055" t="e">
        <f>#REF!</f>
        <v>#REF!</v>
      </c>
      <c r="J76" s="1056"/>
      <c r="K76" s="13"/>
    </row>
    <row r="77" spans="1:11" ht="13.5" thickBot="1" x14ac:dyDescent="0.25">
      <c r="A77" s="26" t="s">
        <v>191</v>
      </c>
      <c r="B77" s="1052" t="e">
        <f>#REF!</f>
        <v>#REF!</v>
      </c>
      <c r="C77" s="1053"/>
      <c r="D77" s="1053"/>
      <c r="E77" s="1053"/>
      <c r="F77" s="1053"/>
      <c r="G77" s="1054"/>
      <c r="H77" s="3" t="e">
        <f>#REF!</f>
        <v>#REF!</v>
      </c>
      <c r="I77" s="1055" t="e">
        <f>#REF!</f>
        <v>#REF!</v>
      </c>
      <c r="J77" s="1056"/>
      <c r="K77" s="13"/>
    </row>
    <row r="78" spans="1:11" ht="13.15" customHeight="1" x14ac:dyDescent="0.2">
      <c r="A78" s="1" t="s">
        <v>192</v>
      </c>
      <c r="B78" s="1038" t="e">
        <f>#REF!</f>
        <v>#REF!</v>
      </c>
      <c r="C78" s="1038"/>
      <c r="D78" s="1038"/>
      <c r="E78" s="1038"/>
      <c r="F78" s="1038"/>
      <c r="G78" s="1038"/>
      <c r="H78" s="1038"/>
      <c r="I78" s="1058" t="e">
        <f>#REF!</f>
        <v>#REF!</v>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t="e">
        <f>#REF!</f>
        <v>#REF!</v>
      </c>
      <c r="C80" s="1051"/>
      <c r="D80" s="1041" t="e">
        <f>#REF!</f>
        <v>#REF!</v>
      </c>
      <c r="E80" s="1041"/>
      <c r="F80" s="1041"/>
      <c r="G80" s="1041"/>
      <c r="H80" s="1041"/>
      <c r="I80" s="1042"/>
      <c r="J80" s="1043"/>
    </row>
    <row r="81" spans="1:11" x14ac:dyDescent="0.2">
      <c r="A81" s="74" t="s">
        <v>204</v>
      </c>
      <c r="B81" s="1044" t="e">
        <f>#REF!</f>
        <v>#REF!</v>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t="e">
        <f>#REF!</f>
        <v>#REF!</v>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t="e">
        <f>#REF!</f>
        <v>#REF!</v>
      </c>
    </row>
    <row r="90" spans="1:11" x14ac:dyDescent="0.2">
      <c r="A90" s="25" t="s">
        <v>101</v>
      </c>
      <c r="B90" s="789" t="s">
        <v>413</v>
      </c>
      <c r="C90" s="1031"/>
      <c r="D90" s="1031"/>
      <c r="E90" s="1031"/>
      <c r="F90" s="1031"/>
      <c r="G90" s="1031"/>
      <c r="H90" s="1031"/>
      <c r="I90" s="1031"/>
      <c r="J90" s="1031"/>
    </row>
    <row r="91" spans="1:11" x14ac:dyDescent="0.2">
      <c r="A91" s="8" t="e">
        <f>#REF!</f>
        <v>#REF!</v>
      </c>
      <c r="B91" s="1040" t="e">
        <f>#REF!</f>
        <v>#REF!</v>
      </c>
      <c r="C91" s="1040"/>
      <c r="D91" s="1040"/>
      <c r="E91" s="1040"/>
      <c r="F91" s="1040"/>
      <c r="G91" s="1040"/>
      <c r="H91" s="1040"/>
      <c r="I91" s="1040"/>
      <c r="J91" s="96" t="e">
        <f>#REF!</f>
        <v>#REF!</v>
      </c>
      <c r="K91" s="13"/>
    </row>
    <row r="92" spans="1:11" ht="13.5" thickBot="1" x14ac:dyDescent="0.25">
      <c r="A92" s="1014" t="s">
        <v>338</v>
      </c>
      <c r="B92" s="1014"/>
      <c r="C92" s="1014"/>
      <c r="D92" s="1014"/>
      <c r="E92" s="1014"/>
      <c r="G92" s="98" t="e">
        <f>#REF!</f>
        <v>#REF!</v>
      </c>
      <c r="H92" s="1013" t="s">
        <v>102</v>
      </c>
      <c r="I92" s="1013"/>
      <c r="J92" s="1013"/>
      <c r="K92" s="1" t="e">
        <f>#REF!</f>
        <v>#REF!</v>
      </c>
    </row>
    <row r="93" spans="1:11" x14ac:dyDescent="0.2">
      <c r="B93" s="1" t="e">
        <f>#REF!</f>
        <v>#REF!</v>
      </c>
      <c r="E93" s="151" t="e">
        <f>#REF!</f>
        <v>#REF!</v>
      </c>
      <c r="F93" s="1" t="e">
        <f>#REF!</f>
        <v>#REF!</v>
      </c>
      <c r="G93" s="152" t="e">
        <f>#REF!</f>
        <v>#REF!</v>
      </c>
      <c r="H93" s="1" t="e">
        <f>#REF!</f>
        <v>#REF!</v>
      </c>
      <c r="J93" s="153" t="e">
        <f>#REF!</f>
        <v>#REF!</v>
      </c>
      <c r="K93" s="8" t="e">
        <f>#REF!</f>
        <v>#REF!</v>
      </c>
    </row>
    <row r="94" spans="1:11" x14ac:dyDescent="0.2">
      <c r="A94" s="60" t="s">
        <v>177</v>
      </c>
      <c r="B94" s="1008" t="e">
        <f>#REF!</f>
        <v>#REF!</v>
      </c>
      <c r="C94" s="1008"/>
      <c r="D94" s="1008"/>
      <c r="E94" s="1008"/>
      <c r="F94" s="1008"/>
      <c r="G94" s="1008"/>
      <c r="H94" s="1008"/>
      <c r="I94" s="1008"/>
      <c r="J94" s="1008"/>
      <c r="K94" s="1008"/>
    </row>
    <row r="95" spans="1:11" x14ac:dyDescent="0.2">
      <c r="B95" s="1008" t="e">
        <f>#REF!</f>
        <v>#REF!</v>
      </c>
      <c r="C95" s="1008"/>
      <c r="D95" s="1008"/>
      <c r="E95" s="1008"/>
      <c r="F95" s="1008"/>
      <c r="G95" s="1008"/>
      <c r="H95" s="1008"/>
      <c r="I95" s="1008"/>
      <c r="J95" s="1008"/>
      <c r="K95" s="1008"/>
    </row>
    <row r="96" spans="1:11" ht="14.45" customHeight="1" thickBot="1" x14ac:dyDescent="0.25">
      <c r="B96" s="1008" t="e">
        <f>#REF!</f>
        <v>#REF!</v>
      </c>
      <c r="C96" s="1008"/>
      <c r="D96" s="1008"/>
      <c r="E96" s="97" t="e">
        <f>#REF!</f>
        <v>#REF!</v>
      </c>
      <c r="F96" s="1" t="e">
        <f>#REF!</f>
        <v>#REF!</v>
      </c>
      <c r="G96" s="100" t="e">
        <f>#REF!</f>
        <v>#REF!</v>
      </c>
      <c r="H96" s="3" t="e">
        <f>#REF!</f>
        <v>#REF!</v>
      </c>
      <c r="I96" s="1030" t="e">
        <f>#REF!</f>
        <v>#REF!</v>
      </c>
      <c r="J96" s="1030"/>
      <c r="K96" s="8" t="e">
        <f>#REF!</f>
        <v>#REF!</v>
      </c>
    </row>
    <row r="97" spans="1:11" x14ac:dyDescent="0.2">
      <c r="A97" s="8" t="s">
        <v>178</v>
      </c>
      <c r="B97" s="1008" t="e">
        <f>#REF!</f>
        <v>#REF!</v>
      </c>
      <c r="C97" s="1008"/>
      <c r="D97" s="1008"/>
      <c r="E97" s="1008"/>
      <c r="F97" s="1008"/>
      <c r="G97" s="1008"/>
      <c r="H97" s="1008"/>
      <c r="I97" s="1008"/>
      <c r="J97" s="1008"/>
      <c r="K97" s="8" t="e">
        <f>#REF!</f>
        <v>#REF!</v>
      </c>
    </row>
    <row r="98" spans="1:11" x14ac:dyDescent="0.2">
      <c r="B98" s="1008" t="e">
        <f>#REF!</f>
        <v>#REF!</v>
      </c>
      <c r="C98" s="1008"/>
      <c r="D98" s="1008"/>
      <c r="E98" s="1008"/>
      <c r="F98" s="1008"/>
      <c r="G98" s="1008"/>
      <c r="H98" s="1008"/>
      <c r="I98" s="1008"/>
      <c r="J98" s="29"/>
      <c r="K98" s="8"/>
    </row>
    <row r="99" spans="1:11" ht="13.5" thickBot="1" x14ac:dyDescent="0.25">
      <c r="B99" s="1008" t="e">
        <f>#REF!</f>
        <v>#REF!</v>
      </c>
      <c r="C99" s="1008"/>
      <c r="D99" s="1008"/>
      <c r="E99" s="1008"/>
      <c r="G99" s="4"/>
      <c r="H99" s="3" t="e">
        <f>#REF!</f>
        <v>#REF!</v>
      </c>
      <c r="I99" s="29"/>
      <c r="J99" s="154" t="e">
        <f>#REF!</f>
        <v>#REF!</v>
      </c>
      <c r="K99" s="8"/>
    </row>
    <row r="100" spans="1:11" ht="13.5" thickBot="1" x14ac:dyDescent="0.25">
      <c r="A100" s="8" t="s">
        <v>199</v>
      </c>
      <c r="B100" s="12" t="e">
        <f>#REF!</f>
        <v>#REF!</v>
      </c>
      <c r="C100" s="12"/>
      <c r="D100" s="12"/>
      <c r="E100" s="12"/>
      <c r="G100" s="4"/>
      <c r="H100" s="3" t="e">
        <f>#REF!</f>
        <v>#REF!</v>
      </c>
      <c r="I100" s="30"/>
      <c r="J100" s="155" t="e">
        <f>#REF!</f>
        <v>#REF!</v>
      </c>
      <c r="K100" s="8"/>
    </row>
    <row r="101" spans="1:11" ht="14.25" thickTop="1" thickBot="1" x14ac:dyDescent="0.25">
      <c r="B101" s="1031" t="e">
        <f>#REF!</f>
        <v>#REF!</v>
      </c>
      <c r="C101" s="1031"/>
      <c r="D101" s="1031"/>
      <c r="E101" s="1031"/>
      <c r="F101" s="1031"/>
      <c r="G101" s="1031"/>
      <c r="H101" s="3" t="e">
        <f>#REF!</f>
        <v>#REF!</v>
      </c>
      <c r="I101" s="1036" t="e">
        <f>#REF!</f>
        <v>#REF!</v>
      </c>
      <c r="J101" s="1037"/>
      <c r="K101" s="13" t="e">
        <f>#REF!</f>
        <v>#REF!</v>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t="e">
        <f>#REF!</f>
        <v>#REF!</v>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t="e">
        <f>#REF!</f>
        <v>#REF!</v>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t="e">
        <f>#REF!</f>
        <v>#REF!</v>
      </c>
      <c r="I110" s="31"/>
      <c r="J110" s="31"/>
      <c r="K110" s="33" t="e">
        <f>#REF!</f>
        <v>#REF!</v>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t="e">
        <f>#REF!</f>
        <v>#REF!</v>
      </c>
    </row>
    <row r="113" spans="1:22" x14ac:dyDescent="0.2">
      <c r="B113" s="1033" t="s">
        <v>108</v>
      </c>
      <c r="C113" s="1033"/>
      <c r="D113" s="1033"/>
      <c r="E113" s="1033"/>
      <c r="F113" s="1033"/>
      <c r="G113" s="1033"/>
      <c r="H113" s="1033"/>
      <c r="I113" s="1033"/>
      <c r="J113" s="1033"/>
      <c r="K113" s="8"/>
    </row>
    <row r="114" spans="1:22" x14ac:dyDescent="0.2">
      <c r="A114" s="34" t="s">
        <v>109</v>
      </c>
      <c r="B114" s="1028" t="e">
        <f>#REF!</f>
        <v>#REF!</v>
      </c>
      <c r="C114" s="1029"/>
      <c r="D114" s="1034" t="e">
        <f>#REF!</f>
        <v>#REF!</v>
      </c>
      <c r="E114" s="1034"/>
      <c r="F114" s="1034"/>
      <c r="G114" s="1034"/>
      <c r="H114" s="1034"/>
      <c r="I114" s="1034"/>
      <c r="J114" s="1035"/>
    </row>
    <row r="115" spans="1:22" x14ac:dyDescent="0.2">
      <c r="A115" s="34"/>
      <c r="B115" s="1096" t="e">
        <f>#REF!</f>
        <v>#REF!</v>
      </c>
      <c r="C115" s="1013"/>
      <c r="D115" s="1013"/>
      <c r="E115" s="1013"/>
      <c r="F115" s="1013"/>
      <c r="G115" s="1013"/>
      <c r="H115" s="1013"/>
      <c r="I115" s="1013"/>
      <c r="J115" s="1097"/>
    </row>
    <row r="116" spans="1:22" ht="12.75" customHeight="1" x14ac:dyDescent="0.2">
      <c r="A116" s="23"/>
      <c r="B116" s="1017" t="e">
        <f>#REF!</f>
        <v>#REF!</v>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v>0</v>
      </c>
      <c r="D121" s="1024"/>
      <c r="E121" s="3" t="s">
        <v>120</v>
      </c>
      <c r="F121" s="1025">
        <f>Formalien!$E$12</f>
        <v>0</v>
      </c>
      <c r="G121" s="1025"/>
      <c r="H121" s="35" t="s">
        <v>110</v>
      </c>
      <c r="I121" s="1025">
        <f>Formalien!$E$13</f>
        <v>0</v>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59"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59"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59"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59"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105" t="e">
        <f>#REF!</f>
        <v>#REF!</v>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t="e">
        <f>#REF!</f>
        <v>#REF!</v>
      </c>
      <c r="C42" s="1084" t="e">
        <f>#REF!</f>
        <v>#REF!</v>
      </c>
      <c r="D42" s="1084"/>
      <c r="E42" s="1084"/>
      <c r="F42" s="1" t="e">
        <f>#REF!</f>
        <v>#REF!</v>
      </c>
      <c r="G42" s="105" t="e">
        <f>#REF!</f>
        <v>#REF!</v>
      </c>
      <c r="H42" s="3" t="e">
        <f>#REF!</f>
        <v>#REF!</v>
      </c>
      <c r="I42" s="1060" t="e">
        <f>#REF!</f>
        <v>#REF!</v>
      </c>
      <c r="J42" s="1060"/>
      <c r="K42" s="13"/>
      <c r="W42" s="68"/>
    </row>
    <row r="43" spans="1:24" ht="13.5" thickBot="1" x14ac:dyDescent="0.25">
      <c r="A43" s="21" t="s">
        <v>83</v>
      </c>
      <c r="B43" s="102" t="e">
        <f>#REF!</f>
        <v>#REF!</v>
      </c>
      <c r="C43" s="1084" t="e">
        <f>#REF!</f>
        <v>#REF!</v>
      </c>
      <c r="D43" s="1084"/>
      <c r="E43" s="1084"/>
      <c r="F43" s="1" t="e">
        <f>#REF!</f>
        <v>#REF!</v>
      </c>
      <c r="G43" s="105" t="e">
        <f>#REF!</f>
        <v>#REF!</v>
      </c>
      <c r="H43" s="3" t="e">
        <f>#REF!</f>
        <v>#REF!</v>
      </c>
      <c r="I43" s="1060" t="e">
        <f>#REF!</f>
        <v>#REF!</v>
      </c>
      <c r="J43" s="1060"/>
      <c r="K43" s="13"/>
      <c r="V43" s="112"/>
      <c r="W43" s="112"/>
      <c r="X43" s="8"/>
    </row>
    <row r="44" spans="1:24" ht="13.5" thickBot="1" x14ac:dyDescent="0.25">
      <c r="A44" s="1" t="s">
        <v>84</v>
      </c>
      <c r="B44" s="102" t="e">
        <f>#REF!</f>
        <v>#REF!</v>
      </c>
      <c r="C44" s="1084" t="e">
        <f>#REF!</f>
        <v>#REF!</v>
      </c>
      <c r="D44" s="1084"/>
      <c r="E44" s="1084"/>
      <c r="F44" s="1" t="e">
        <f>#REF!</f>
        <v>#REF!</v>
      </c>
      <c r="G44" s="150" t="e">
        <f>#REF!</f>
        <v>#REF!</v>
      </c>
      <c r="H44" s="3" t="e">
        <f>#REF!</f>
        <v>#REF!</v>
      </c>
      <c r="I44" s="1060" t="e">
        <f>#REF!</f>
        <v>#REF!</v>
      </c>
      <c r="J44" s="1060"/>
      <c r="K44" s="13"/>
      <c r="W44" s="68"/>
    </row>
    <row r="45" spans="1:24" ht="13.5" thickBot="1" x14ac:dyDescent="0.25">
      <c r="A45" s="1" t="s">
        <v>85</v>
      </c>
      <c r="B45" s="102" t="e">
        <f>#REF!</f>
        <v>#REF!</v>
      </c>
      <c r="C45" s="1084" t="e">
        <f>#REF!</f>
        <v>#REF!</v>
      </c>
      <c r="D45" s="1084"/>
      <c r="E45" s="1084"/>
      <c r="F45" s="1" t="e">
        <f>#REF!</f>
        <v>#REF!</v>
      </c>
      <c r="G45" s="150" t="e">
        <f>#REF!</f>
        <v>#REF!</v>
      </c>
      <c r="H45" s="3" t="e">
        <f>#REF!</f>
        <v>#REF!</v>
      </c>
      <c r="I45" s="1060" t="e">
        <f>#REF!</f>
        <v>#REF!</v>
      </c>
      <c r="J45" s="1060"/>
      <c r="K45" s="13"/>
      <c r="V45" s="112"/>
      <c r="W45" s="112"/>
      <c r="X45" s="8"/>
    </row>
    <row r="46" spans="1:24" ht="14.45" customHeight="1" thickBot="1" x14ac:dyDescent="0.25">
      <c r="A46" s="7" t="s">
        <v>187</v>
      </c>
      <c r="B46" s="71" t="e">
        <f>#REF!</f>
        <v>#REF!</v>
      </c>
      <c r="C46" s="72"/>
      <c r="D46" s="72"/>
      <c r="E46" s="1027" t="e">
        <f>#REF!</f>
        <v>#REF!</v>
      </c>
      <c r="F46" s="1027"/>
      <c r="G46" s="1075"/>
      <c r="H46" s="1075"/>
      <c r="I46" s="1076"/>
      <c r="J46" s="106" t="e">
        <f>#REF!</f>
        <v>#REF!</v>
      </c>
      <c r="K46" s="13"/>
      <c r="W46" s="68"/>
    </row>
    <row r="47" spans="1:24" ht="14.45" customHeight="1" thickBot="1" x14ac:dyDescent="0.25">
      <c r="A47" s="7" t="s">
        <v>86</v>
      </c>
      <c r="B47" s="107" t="e">
        <f>#REF!</f>
        <v>#REF!</v>
      </c>
      <c r="C47" s="1077" t="e">
        <f>#REF!</f>
        <v>#REF!</v>
      </c>
      <c r="D47" s="1077"/>
      <c r="E47" s="1078"/>
      <c r="F47" s="1078"/>
      <c r="G47" s="1079"/>
      <c r="H47" s="3" t="e">
        <f>#REF!</f>
        <v>#REF!</v>
      </c>
      <c r="I47" s="1080" t="e">
        <f>#REF!</f>
        <v>#REF!</v>
      </c>
      <c r="J47" s="1081"/>
      <c r="K47" s="13"/>
      <c r="V47" s="112"/>
      <c r="W47" s="112"/>
      <c r="X47" s="8"/>
    </row>
    <row r="48" spans="1:24" ht="14.45" customHeight="1" thickBot="1" x14ac:dyDescent="0.25">
      <c r="A48" s="1" t="s">
        <v>193</v>
      </c>
      <c r="B48" s="113" t="e">
        <f>#REF!</f>
        <v>#REF!</v>
      </c>
      <c r="C48" s="1082" t="e">
        <f>#REF!</f>
        <v>#REF!</v>
      </c>
      <c r="D48" s="1082"/>
      <c r="E48" s="1082"/>
      <c r="F48" s="1082"/>
      <c r="G48" s="1082"/>
      <c r="H48" s="3" t="e">
        <f>#REF!</f>
        <v>#REF!</v>
      </c>
      <c r="I48" s="1083" t="e">
        <f>#REF!</f>
        <v>#REF!</v>
      </c>
      <c r="J48" s="1083"/>
    </row>
    <row r="49" spans="1:24" ht="18" customHeight="1" thickBot="1" x14ac:dyDescent="0.25">
      <c r="A49" s="1" t="s">
        <v>194</v>
      </c>
      <c r="B49" s="110" t="e">
        <f>#REF!</f>
        <v>#REF!</v>
      </c>
      <c r="C49" s="1093" t="e">
        <f>#REF!</f>
        <v>#REF!</v>
      </c>
      <c r="D49" s="1094"/>
      <c r="E49" s="1094"/>
      <c r="F49" s="1094"/>
      <c r="G49" s="1094"/>
      <c r="H49" s="1094"/>
      <c r="I49" s="1094"/>
      <c r="J49" s="1095"/>
      <c r="K49" s="104" t="e">
        <f>#REF!</f>
        <v>#REF!</v>
      </c>
      <c r="V49" s="112"/>
      <c r="W49" s="112"/>
      <c r="X49" s="13"/>
    </row>
    <row r="50" spans="1:24" x14ac:dyDescent="0.2">
      <c r="A50" s="16"/>
      <c r="B50" s="64" t="e">
        <f>#REF!</f>
        <v>#REF!</v>
      </c>
      <c r="C50" s="22"/>
      <c r="D50" s="1068" t="e">
        <f>#REF!</f>
        <v>#REF!</v>
      </c>
      <c r="E50" s="1068"/>
      <c r="F50" s="1068"/>
      <c r="G50" s="1068"/>
      <c r="H50" s="1068"/>
      <c r="I50" s="1068"/>
      <c r="J50" s="1069"/>
      <c r="V50" s="15"/>
      <c r="W50" s="15"/>
      <c r="X50" s="13"/>
    </row>
    <row r="51" spans="1:24" x14ac:dyDescent="0.2">
      <c r="A51" s="23"/>
      <c r="B51" s="1044" t="e">
        <f>#REF!</f>
        <v>#REF!</v>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t="e">
        <f>SUM(I42:J48)+I18+I20+I22+I24</f>
        <v>#REF!</v>
      </c>
      <c r="J58" s="1074"/>
    </row>
    <row r="60" spans="1:24" x14ac:dyDescent="0.2">
      <c r="A60" s="8"/>
    </row>
    <row r="61" spans="1:24" x14ac:dyDescent="0.2">
      <c r="A61" s="8"/>
    </row>
    <row r="62" spans="1:24" ht="14.45" customHeight="1" x14ac:dyDescent="0.2">
      <c r="A62" s="8" t="s">
        <v>137</v>
      </c>
      <c r="B62" s="8"/>
      <c r="C62" s="8"/>
      <c r="H62" s="1008">
        <f>Formalien!$F$5</f>
        <v>0</v>
      </c>
      <c r="I62" s="1008"/>
      <c r="J62" s="1008"/>
      <c r="K62" s="8"/>
    </row>
    <row r="63" spans="1:24" x14ac:dyDescent="0.2">
      <c r="B63" s="1008" t="s">
        <v>1</v>
      </c>
      <c r="C63" s="1008"/>
      <c r="D63" s="1065">
        <f>$E$1</f>
        <v>0</v>
      </c>
      <c r="E63" s="1066"/>
      <c r="F63" s="1066"/>
      <c r="G63" s="3" t="s">
        <v>3</v>
      </c>
      <c r="H63" s="24">
        <f>J2</f>
        <v>0</v>
      </c>
      <c r="I63" s="7"/>
    </row>
    <row r="64" spans="1:24" x14ac:dyDescent="0.2">
      <c r="G64" s="12"/>
      <c r="H64" s="1066"/>
      <c r="I64" s="1066"/>
      <c r="J64" s="1066"/>
    </row>
    <row r="65" spans="1:11" x14ac:dyDescent="0.2">
      <c r="E65" s="1013" t="s">
        <v>89</v>
      </c>
      <c r="F65" s="1013"/>
      <c r="G65" s="1013"/>
      <c r="H65" s="1013"/>
      <c r="I65" s="1060" t="e">
        <f>I58</f>
        <v>#REF!</v>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t="e">
        <f>#REF!</f>
        <v>#REF!</v>
      </c>
      <c r="C67" s="12" t="e">
        <f>#REF!</f>
        <v>#REF!</v>
      </c>
      <c r="E67" s="12"/>
      <c r="F67" s="12"/>
      <c r="G67" s="12"/>
      <c r="H67" s="12"/>
      <c r="I67" s="12"/>
      <c r="J67" s="12"/>
    </row>
    <row r="68" spans="1:11" x14ac:dyDescent="0.2">
      <c r="C68" s="67"/>
      <c r="D68" s="3" t="e">
        <f>#REF!</f>
        <v>#REF!</v>
      </c>
      <c r="E68" s="66" t="e">
        <f>#REF!</f>
        <v>#REF!</v>
      </c>
      <c r="F68" s="1" t="e">
        <f>#REF!</f>
        <v>#REF!</v>
      </c>
      <c r="H68" s="3" t="e">
        <f>#REF!</f>
        <v>#REF!</v>
      </c>
      <c r="I68" s="1060" t="e">
        <f>#REF!</f>
        <v>#REF!</v>
      </c>
      <c r="J68" s="1060"/>
      <c r="K68" s="13"/>
    </row>
    <row r="69" spans="1:11" ht="13.5" thickBot="1" x14ac:dyDescent="0.25">
      <c r="A69" s="1" t="s">
        <v>29</v>
      </c>
      <c r="B69" s="102" t="e">
        <f>#REF!</f>
        <v>#REF!</v>
      </c>
      <c r="C69" s="12" t="e">
        <f>#REF!</f>
        <v>#REF!</v>
      </c>
      <c r="E69" s="66" t="e">
        <f>#REF!</f>
        <v>#REF!</v>
      </c>
      <c r="F69" s="12"/>
      <c r="G69" s="12"/>
      <c r="H69" s="3" t="e">
        <f>#REF!</f>
        <v>#REF!</v>
      </c>
      <c r="I69" s="1060" t="e">
        <f>#REF!</f>
        <v>#REF!</v>
      </c>
      <c r="J69" s="1060"/>
    </row>
    <row r="70" spans="1:11" ht="13.5" thickBot="1" x14ac:dyDescent="0.25">
      <c r="A70" s="1" t="s">
        <v>91</v>
      </c>
      <c r="B70" s="103" t="e">
        <f>#REF!</f>
        <v>#REF!</v>
      </c>
      <c r="C70" s="12" t="e">
        <f>#REF!</f>
        <v>#REF!</v>
      </c>
      <c r="E70" s="66" t="e">
        <f>#REF!</f>
        <v>#REF!</v>
      </c>
      <c r="F70" s="12" t="e">
        <f>#REF!</f>
        <v>#REF!</v>
      </c>
      <c r="G70" s="12"/>
      <c r="H70" s="3" t="e">
        <f>#REF!</f>
        <v>#REF!</v>
      </c>
      <c r="I70" s="1060" t="e">
        <f>#REF!</f>
        <v>#REF!</v>
      </c>
      <c r="J70" s="1060"/>
    </row>
    <row r="71" spans="1:11" ht="13.5" thickBot="1" x14ac:dyDescent="0.25">
      <c r="A71" s="26" t="s">
        <v>92</v>
      </c>
      <c r="B71" s="1052" t="e">
        <f>#REF!</f>
        <v>#REF!</v>
      </c>
      <c r="C71" s="1061"/>
      <c r="D71" s="1061"/>
      <c r="E71" s="1061"/>
      <c r="F71" s="1061"/>
      <c r="G71" s="1062"/>
      <c r="H71" s="3" t="e">
        <f>#REF!</f>
        <v>#REF!</v>
      </c>
      <c r="I71" s="1063" t="e">
        <f>#REF!</f>
        <v>#REF!</v>
      </c>
      <c r="J71" s="1064"/>
      <c r="K71" s="13"/>
    </row>
    <row r="72" spans="1:11" ht="13.5" thickBot="1" x14ac:dyDescent="0.25">
      <c r="A72" s="12" t="s">
        <v>189</v>
      </c>
      <c r="B72" s="1052" t="e">
        <f>#REF!</f>
        <v>#REF!</v>
      </c>
      <c r="C72" s="1053"/>
      <c r="D72" s="1053"/>
      <c r="E72" s="1053"/>
      <c r="F72" s="1053"/>
      <c r="G72" s="1054"/>
      <c r="H72" s="3" t="e">
        <f>#REF!</f>
        <v>#REF!</v>
      </c>
      <c r="I72" s="1055" t="e">
        <f>#REF!</f>
        <v>#REF!</v>
      </c>
      <c r="J72" s="1056"/>
      <c r="K72" s="13"/>
    </row>
    <row r="73" spans="1:11" ht="14.45" customHeight="1" thickBot="1" x14ac:dyDescent="0.25">
      <c r="A73" s="12" t="s">
        <v>190</v>
      </c>
      <c r="B73" s="1052" t="e">
        <f>#REF!</f>
        <v>#REF!</v>
      </c>
      <c r="C73" s="1053"/>
      <c r="D73" s="1053"/>
      <c r="E73" s="1053"/>
      <c r="F73" s="1053"/>
      <c r="G73" s="1054"/>
      <c r="H73" s="3" t="e">
        <f>#REF!</f>
        <v>#REF!</v>
      </c>
      <c r="I73" s="1055" t="e">
        <f>#REF!</f>
        <v>#REF!</v>
      </c>
      <c r="J73" s="1056"/>
      <c r="K73" s="13"/>
    </row>
    <row r="74" spans="1:11" ht="13.5" thickBot="1" x14ac:dyDescent="0.25">
      <c r="A74" s="26" t="s">
        <v>191</v>
      </c>
      <c r="B74" s="1052" t="e">
        <f>#REF!</f>
        <v>#REF!</v>
      </c>
      <c r="C74" s="1053"/>
      <c r="D74" s="1053"/>
      <c r="E74" s="1053"/>
      <c r="F74" s="1053"/>
      <c r="G74" s="1054"/>
      <c r="H74" s="3" t="e">
        <f>#REF!</f>
        <v>#REF!</v>
      </c>
      <c r="I74" s="1055" t="e">
        <f>#REF!</f>
        <v>#REF!</v>
      </c>
      <c r="J74" s="1056"/>
      <c r="K74" s="13"/>
    </row>
    <row r="75" spans="1:11" ht="13.15" customHeight="1" x14ac:dyDescent="0.2">
      <c r="A75" s="1" t="s">
        <v>192</v>
      </c>
      <c r="B75" s="1038" t="e">
        <f>#REF!</f>
        <v>#REF!</v>
      </c>
      <c r="C75" s="1038"/>
      <c r="D75" s="1038"/>
      <c r="E75" s="1038"/>
      <c r="F75" s="1038"/>
      <c r="G75" s="1038"/>
      <c r="H75" s="1038"/>
      <c r="I75" s="1058" t="e">
        <f>#REF!</f>
        <v>#REF!</v>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t="e">
        <f>#REF!</f>
        <v>#REF!</v>
      </c>
      <c r="C77" s="1051"/>
      <c r="D77" s="1041" t="e">
        <f>#REF!</f>
        <v>#REF!</v>
      </c>
      <c r="E77" s="1041"/>
      <c r="F77" s="1041"/>
      <c r="G77" s="1041"/>
      <c r="H77" s="1041"/>
      <c r="I77" s="1042"/>
      <c r="J77" s="1043"/>
    </row>
    <row r="78" spans="1:11" x14ac:dyDescent="0.2">
      <c r="A78" s="74" t="s">
        <v>204</v>
      </c>
      <c r="B78" s="1044" t="e">
        <f>#REF!</f>
        <v>#REF!</v>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t="e">
        <f>#REF!</f>
        <v>#REF!</v>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t="e">
        <f>#REF!</f>
        <v>#REF!</v>
      </c>
    </row>
    <row r="87" spans="1:11" x14ac:dyDescent="0.2">
      <c r="A87" s="25" t="s">
        <v>101</v>
      </c>
      <c r="B87" s="1114" t="s">
        <v>413</v>
      </c>
      <c r="C87" s="1114"/>
      <c r="D87" s="1114"/>
      <c r="E87" s="1114"/>
      <c r="F87" s="1114"/>
      <c r="G87" s="1114"/>
      <c r="H87" s="1114"/>
      <c r="I87" s="1114"/>
      <c r="J87" s="1114"/>
    </row>
    <row r="88" spans="1:11" x14ac:dyDescent="0.2">
      <c r="A88" s="338" t="e">
        <f>#REF!</f>
        <v>#REF!</v>
      </c>
      <c r="B88" s="792" t="e">
        <f>#REF!</f>
        <v>#REF!</v>
      </c>
      <c r="C88" s="792"/>
      <c r="D88" s="792"/>
      <c r="E88" s="792"/>
      <c r="F88" s="792"/>
      <c r="G88" s="792"/>
      <c r="H88" s="792"/>
      <c r="I88" s="792"/>
      <c r="J88" s="349" t="e">
        <f>#REF!</f>
        <v>#REF!</v>
      </c>
      <c r="K88" s="347"/>
    </row>
    <row r="89" spans="1:11" ht="13.5" thickBot="1" x14ac:dyDescent="0.25">
      <c r="A89" s="1111" t="s">
        <v>338</v>
      </c>
      <c r="B89" s="1111"/>
      <c r="C89" s="1111"/>
      <c r="D89" s="1111"/>
      <c r="E89" s="1111"/>
      <c r="F89" s="331"/>
      <c r="G89" s="350" t="e">
        <f>#REF!</f>
        <v>#REF!</v>
      </c>
      <c r="H89" s="773" t="s">
        <v>102</v>
      </c>
      <c r="I89" s="773"/>
      <c r="J89" s="773"/>
      <c r="K89" s="331" t="e">
        <f>#REF!</f>
        <v>#REF!</v>
      </c>
    </row>
    <row r="90" spans="1:11" x14ac:dyDescent="0.2">
      <c r="A90" s="331"/>
      <c r="B90" s="331" t="e">
        <f>#REF!</f>
        <v>#REF!</v>
      </c>
      <c r="C90" s="331"/>
      <c r="D90" s="331"/>
      <c r="E90" s="351" t="e">
        <f>#REF!</f>
        <v>#REF!</v>
      </c>
      <c r="F90" s="331" t="e">
        <f>#REF!</f>
        <v>#REF!</v>
      </c>
      <c r="G90" s="352" t="e">
        <f>#REF!</f>
        <v>#REF!</v>
      </c>
      <c r="H90" s="331" t="e">
        <f>#REF!</f>
        <v>#REF!</v>
      </c>
      <c r="I90" s="331"/>
      <c r="J90" s="353" t="e">
        <f>#REF!</f>
        <v>#REF!</v>
      </c>
      <c r="K90" s="338" t="e">
        <f>#REF!</f>
        <v>#REF!</v>
      </c>
    </row>
    <row r="91" spans="1:11" x14ac:dyDescent="0.2">
      <c r="A91" s="348" t="s">
        <v>177</v>
      </c>
      <c r="B91" s="792" t="e">
        <f>#REF!</f>
        <v>#REF!</v>
      </c>
      <c r="C91" s="792"/>
      <c r="D91" s="792"/>
      <c r="E91" s="792"/>
      <c r="F91" s="792"/>
      <c r="G91" s="792"/>
      <c r="H91" s="792"/>
      <c r="I91" s="792"/>
      <c r="J91" s="792"/>
      <c r="K91" s="792"/>
    </row>
    <row r="92" spans="1:11" x14ac:dyDescent="0.2">
      <c r="A92" s="331"/>
      <c r="B92" s="792" t="e">
        <f>#REF!</f>
        <v>#REF!</v>
      </c>
      <c r="C92" s="792"/>
      <c r="D92" s="792"/>
      <c r="E92" s="792"/>
      <c r="F92" s="792"/>
      <c r="G92" s="792"/>
      <c r="H92" s="792"/>
      <c r="I92" s="792"/>
      <c r="J92" s="792"/>
      <c r="K92" s="792"/>
    </row>
    <row r="93" spans="1:11" ht="14.45" customHeight="1" thickBot="1" x14ac:dyDescent="0.25">
      <c r="A93" s="331"/>
      <c r="B93" s="792" t="e">
        <f>#REF!</f>
        <v>#REF!</v>
      </c>
      <c r="C93" s="792"/>
      <c r="D93" s="792"/>
      <c r="E93" s="354" t="e">
        <f>#REF!</f>
        <v>#REF!</v>
      </c>
      <c r="F93" s="331" t="e">
        <f>#REF!</f>
        <v>#REF!</v>
      </c>
      <c r="G93" s="355" t="e">
        <f>#REF!</f>
        <v>#REF!</v>
      </c>
      <c r="H93" s="330" t="e">
        <f>#REF!</f>
        <v>#REF!</v>
      </c>
      <c r="I93" s="1112" t="e">
        <f>#REF!</f>
        <v>#REF!</v>
      </c>
      <c r="J93" s="1112"/>
      <c r="K93" s="338" t="e">
        <f>#REF!</f>
        <v>#REF!</v>
      </c>
    </row>
    <row r="94" spans="1:11" x14ac:dyDescent="0.2">
      <c r="A94" s="338" t="s">
        <v>178</v>
      </c>
      <c r="B94" s="792" t="e">
        <f>#REF!</f>
        <v>#REF!</v>
      </c>
      <c r="C94" s="792"/>
      <c r="D94" s="792"/>
      <c r="E94" s="792"/>
      <c r="F94" s="792"/>
      <c r="G94" s="792"/>
      <c r="H94" s="792"/>
      <c r="I94" s="792"/>
      <c r="J94" s="792"/>
      <c r="K94" s="338" t="e">
        <f>#REF!</f>
        <v>#REF!</v>
      </c>
    </row>
    <row r="95" spans="1:11" x14ac:dyDescent="0.2">
      <c r="B95" s="1008" t="e">
        <f>#REF!</f>
        <v>#REF!</v>
      </c>
      <c r="C95" s="1008"/>
      <c r="D95" s="1008"/>
      <c r="E95" s="1008"/>
      <c r="F95" s="1008"/>
      <c r="G95" s="1008"/>
      <c r="H95" s="1008"/>
      <c r="I95" s="1008"/>
      <c r="J95" s="29"/>
      <c r="K95" s="8" t="e">
        <f>#REF!</f>
        <v>#REF!</v>
      </c>
    </row>
    <row r="96" spans="1:11" ht="13.5" thickBot="1" x14ac:dyDescent="0.25">
      <c r="B96" s="1008" t="e">
        <f>#REF!</f>
        <v>#REF!</v>
      </c>
      <c r="C96" s="1008"/>
      <c r="D96" s="1008"/>
      <c r="E96" s="1008"/>
      <c r="G96" s="4"/>
      <c r="H96" s="3" t="e">
        <f>#REF!</f>
        <v>#REF!</v>
      </c>
      <c r="I96" s="29"/>
      <c r="J96" s="154" t="e">
        <f>#REF!</f>
        <v>#REF!</v>
      </c>
      <c r="K96" s="8"/>
    </row>
    <row r="97" spans="1:11" ht="13.5" thickBot="1" x14ac:dyDescent="0.25">
      <c r="A97" s="8" t="s">
        <v>199</v>
      </c>
      <c r="B97" s="344" t="e">
        <f>#REF!</f>
        <v>#REF!</v>
      </c>
      <c r="C97" s="12"/>
      <c r="D97" s="12"/>
      <c r="E97" s="12"/>
      <c r="G97" s="4"/>
      <c r="H97" s="3" t="e">
        <f>#REF!</f>
        <v>#REF!</v>
      </c>
      <c r="I97" s="30"/>
      <c r="J97" s="155" t="e">
        <f>#REF!</f>
        <v>#REF!</v>
      </c>
      <c r="K97" s="8"/>
    </row>
    <row r="98" spans="1:11" ht="14.25" thickTop="1" thickBot="1" x14ac:dyDescent="0.25">
      <c r="B98" s="789" t="e">
        <f>#REF!</f>
        <v>#REF!</v>
      </c>
      <c r="C98" s="789"/>
      <c r="D98" s="789"/>
      <c r="E98" s="789"/>
      <c r="F98" s="789"/>
      <c r="G98" s="789"/>
      <c r="H98" s="3" t="e">
        <f>#REF!</f>
        <v>#REF!</v>
      </c>
      <c r="I98" s="1036" t="e">
        <f>#REF!</f>
        <v>#REF!</v>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t="e">
        <f>#REF!</f>
        <v>#REF!</v>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t="e">
        <f>#REF!</f>
        <v>#REF!</v>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t="e">
        <f>#REF!</f>
        <v>#REF!</v>
      </c>
      <c r="I107" s="31"/>
      <c r="J107" s="31"/>
      <c r="K107" s="33" t="e">
        <f>#REF!</f>
        <v>#REF!</v>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t="e">
        <f>#REF!</f>
        <v>#REF!</v>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t="e">
        <f>#REF!</f>
        <v>#REF!</v>
      </c>
      <c r="E111" s="1034"/>
      <c r="F111" s="1034"/>
      <c r="G111" s="1034"/>
      <c r="H111" s="1034"/>
      <c r="I111" s="1034"/>
      <c r="J111" s="1035"/>
    </row>
    <row r="112" spans="1:11" x14ac:dyDescent="0.2">
      <c r="A112" s="34"/>
      <c r="B112" s="1096" t="e">
        <f>#REF!</f>
        <v>#REF!</v>
      </c>
      <c r="C112" s="1013"/>
      <c r="D112" s="1013"/>
      <c r="E112" s="1013"/>
      <c r="F112" s="1013"/>
      <c r="G112" s="1013"/>
      <c r="H112" s="1013"/>
      <c r="I112" s="1013"/>
      <c r="J112" s="1097"/>
    </row>
    <row r="113" spans="1:12" ht="15.75" thickBot="1" x14ac:dyDescent="0.3">
      <c r="A113" s="1120" t="s">
        <v>58</v>
      </c>
      <c r="B113" s="1120"/>
      <c r="C113" s="1121">
        <f>Formalien!$E$14</f>
        <v>0</v>
      </c>
      <c r="D113" s="1121"/>
      <c r="E113" s="356" t="s">
        <v>120</v>
      </c>
      <c r="F113" s="1122">
        <f>Formalien!$E$12</f>
        <v>0</v>
      </c>
      <c r="G113" s="1122"/>
      <c r="H113" s="357" t="s">
        <v>110</v>
      </c>
      <c r="I113" s="1122">
        <f>Formalien!$E$13</f>
        <v>0</v>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c>
      <c r="D6" s="1131"/>
      <c r="E6" s="1131"/>
      <c r="F6" s="1131"/>
      <c r="G6" s="1131"/>
      <c r="H6" s="42"/>
    </row>
    <row r="7" spans="1:9" ht="15" x14ac:dyDescent="0.2">
      <c r="A7" s="1014" t="s">
        <v>1</v>
      </c>
      <c r="B7" s="1014"/>
      <c r="C7" s="1132">
        <f>Formalien!$E$3</f>
      </c>
      <c r="D7" s="1132"/>
      <c r="E7" s="1132"/>
      <c r="F7" s="1132"/>
      <c r="G7" s="1132"/>
      <c r="H7" s="42"/>
    </row>
    <row r="8" spans="1:9" ht="15" x14ac:dyDescent="0.2">
      <c r="B8" s="3"/>
      <c r="C8" s="1133">
        <f>Formalien!$E$5</f>
      </c>
      <c r="D8" s="1133"/>
      <c r="E8" s="1133"/>
      <c r="F8" s="3" t="s">
        <v>116</v>
      </c>
      <c r="G8" s="43">
        <f>Formalien!$E$4</f>
      </c>
      <c r="H8" s="42"/>
    </row>
    <row r="9" spans="1:9" ht="15" x14ac:dyDescent="0.2">
      <c r="A9" s="1014" t="s">
        <v>145</v>
      </c>
      <c r="B9" s="1014"/>
      <c r="C9" s="1134">
        <f>Formalien!$E$14</f>
      </c>
      <c r="D9" s="1134"/>
      <c r="E9" s="1134"/>
      <c r="F9" s="1134"/>
      <c r="G9" s="1134"/>
      <c r="H9" s="42"/>
    </row>
    <row r="10" spans="1:9" ht="15" customHeight="1" x14ac:dyDescent="0.2">
      <c r="A10" s="1" t="s">
        <v>117</v>
      </c>
      <c r="B10" s="1014" t="s">
        <v>121</v>
      </c>
      <c r="C10" s="1014"/>
      <c r="D10" s="1127">
        <f>Formalien!$E$12</f>
      </c>
      <c r="E10" s="1127"/>
      <c r="F10" s="1127"/>
      <c r="G10" s="1127"/>
      <c r="H10" s="42"/>
    </row>
    <row r="11" spans="1:9" ht="15" customHeight="1" x14ac:dyDescent="0.2">
      <c r="A11" s="1014" t="s">
        <v>121</v>
      </c>
      <c r="B11" s="1014"/>
      <c r="C11" s="1014"/>
      <c r="D11" s="1128">
        <f>Formalien!$E$13</f>
      </c>
      <c r="E11" s="1128"/>
      <c r="F11" s="1128"/>
      <c r="G11" s="1128"/>
      <c r="H11" s="42"/>
    </row>
    <row r="12" spans="1:9" ht="15" customHeight="1" x14ac:dyDescent="0.2">
      <c r="A12" s="1014" t="s">
        <v>118</v>
      </c>
      <c r="B12" s="1014"/>
      <c r="C12" s="1014"/>
      <c r="D12" s="1127">
        <f>Formalien!$E$10</f>
      </c>
      <c r="E12" s="1127"/>
      <c r="F12" s="1127"/>
      <c r="G12" s="1127"/>
      <c r="H12" s="42"/>
    </row>
    <row r="13" spans="1:9" ht="15" customHeight="1" x14ac:dyDescent="0.2">
      <c r="A13" s="1014" t="s">
        <v>139</v>
      </c>
      <c r="B13" s="1014"/>
      <c r="C13" s="1014"/>
      <c r="D13" s="1127">
        <f>Formalien!$E$9</f>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c>
      <c r="B16" s="1014"/>
      <c r="C16" s="1014"/>
      <c r="D16" s="44">
        <f>Baulichkeiten!$K$81</f>
      </c>
      <c r="E16" s="12" t="str">
        <f>'Deckbl UPV '!F21</f>
      </c>
      <c r="F16" s="45"/>
      <c r="G16" s="14"/>
      <c r="H16" s="42"/>
    </row>
    <row r="17" spans="1:8" x14ac:dyDescent="0.2">
      <c r="A17" s="1014">
        <f>'Deckbl UPV '!A22</f>
      </c>
      <c r="B17" s="1014"/>
      <c r="C17" s="1014"/>
      <c r="D17" s="55">
        <f>'Deckbl UPV '!E22</f>
      </c>
      <c r="E17" s="14"/>
      <c r="G17" s="14"/>
      <c r="H17" s="42"/>
    </row>
    <row r="18" spans="1:8" x14ac:dyDescent="0.2">
      <c r="A18" s="1014" t="e">
        <f>'Deckbl UPV '!#REF!</f>
      </c>
      <c r="B18" s="1014"/>
      <c r="C18" s="1014"/>
      <c r="D18" s="44">
        <f>'Deckbl UPV '!E23</f>
      </c>
      <c r="E18" s="14"/>
      <c r="F18" s="45"/>
      <c r="G18" s="14"/>
      <c r="H18" s="42"/>
    </row>
    <row r="19" spans="1:8" x14ac:dyDescent="0.2">
      <c r="A19" s="1014">
        <f>'Deckbl UPV '!K24</f>
      </c>
      <c r="B19" s="1014"/>
      <c r="C19" s="1014"/>
      <c r="D19" s="46">
        <f>'Deckbl UPV '!E24</f>
      </c>
      <c r="E19" s="14"/>
      <c r="F19" s="45"/>
      <c r="G19" s="14"/>
      <c r="H19" s="42"/>
    </row>
    <row r="20" spans="1:8" x14ac:dyDescent="0.2">
      <c r="A20" s="1014">
        <f>'Deckbl UPV '!K26</f>
      </c>
      <c r="B20" s="1014"/>
      <c r="C20" s="1014"/>
      <c r="D20" s="47"/>
      <c r="E20" s="14"/>
      <c r="F20" s="14"/>
      <c r="G20" s="14"/>
      <c r="H20" s="42"/>
    </row>
    <row r="21" spans="1:8" x14ac:dyDescent="0.2">
      <c r="A21" s="1014">
        <f>'Deckbl UPV '!C27</f>
      </c>
      <c r="B21" s="1014"/>
      <c r="C21" s="1014"/>
      <c r="D21" s="190">
        <f>'Deckbl UPV '!E27</f>
      </c>
      <c r="E21" s="14"/>
      <c r="F21" s="14"/>
      <c r="G21" s="14"/>
      <c r="H21" s="42"/>
    </row>
    <row r="22" spans="1:8" ht="13.5" thickBot="1" x14ac:dyDescent="0.25">
      <c r="A22" s="1014">
        <f>'Deckbl UPV '!C28</f>
      </c>
      <c r="B22" s="1014"/>
      <c r="C22" s="1014"/>
      <c r="D22" s="48">
        <f>'Deckbl UPV '!E26</f>
      </c>
      <c r="E22" s="14"/>
      <c r="F22" s="45"/>
      <c r="G22" s="14"/>
      <c r="H22" s="42"/>
    </row>
    <row r="23" spans="1:8" ht="13.5" thickTop="1" x14ac:dyDescent="0.2">
      <c r="A23" s="1013"/>
      <c r="B23" s="1013"/>
      <c r="C23" s="1013"/>
      <c r="D23" s="1013"/>
      <c r="E23" s="14"/>
      <c r="F23" s="14"/>
      <c r="G23" s="14"/>
      <c r="H23" s="42"/>
    </row>
    <row r="24" spans="1:8" ht="16.5" thickBot="1" x14ac:dyDescent="0.3">
      <c r="A24" s="1101" t="e">
        <f>'Deckbl UPV '!#REF!</f>
      </c>
      <c r="B24" s="1101"/>
      <c r="C24" s="1101"/>
      <c r="D24" s="49">
        <f>'Deckbl UPV '!E28</f>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c>
      <c r="D6" s="1135"/>
      <c r="E6" s="1135"/>
      <c r="F6" s="1135"/>
      <c r="G6" s="1135"/>
    </row>
    <row r="7" spans="1:7" ht="15" x14ac:dyDescent="0.2">
      <c r="A7" s="1014" t="s">
        <v>1</v>
      </c>
      <c r="B7" s="1014"/>
      <c r="C7" s="1136">
        <f>Formalien!$E$3</f>
      </c>
      <c r="D7" s="1136"/>
      <c r="E7" s="1136"/>
      <c r="F7" s="1136"/>
      <c r="G7" s="1136"/>
    </row>
    <row r="8" spans="1:7" ht="15" x14ac:dyDescent="0.2">
      <c r="B8" s="3"/>
      <c r="C8" s="1133">
        <f>Formalien!$E$5</f>
      </c>
      <c r="D8" s="1133"/>
      <c r="E8" s="1133"/>
      <c r="F8" s="3" t="s">
        <v>116</v>
      </c>
      <c r="G8" s="43">
        <f>Formalien!$E$4</f>
      </c>
    </row>
    <row r="9" spans="1:7" ht="15" x14ac:dyDescent="0.2">
      <c r="A9" s="1014" t="s">
        <v>145</v>
      </c>
      <c r="B9" s="1014"/>
      <c r="C9" s="1134">
        <f>Formalien!$E$14</f>
      </c>
      <c r="D9" s="1134"/>
      <c r="E9" s="1134"/>
      <c r="F9" s="1134"/>
      <c r="G9" s="1134"/>
    </row>
    <row r="10" spans="1:7" ht="15" customHeight="1" x14ac:dyDescent="0.2">
      <c r="A10" s="1" t="s">
        <v>117</v>
      </c>
      <c r="B10" s="1014" t="s">
        <v>121</v>
      </c>
      <c r="C10" s="1014"/>
      <c r="D10" s="1127">
        <f>Formalien!$E$12</f>
      </c>
      <c r="E10" s="1127"/>
      <c r="F10" s="1127"/>
      <c r="G10" s="1127"/>
    </row>
    <row r="11" spans="1:7" ht="15" customHeight="1" x14ac:dyDescent="0.2">
      <c r="A11" s="1014" t="s">
        <v>121</v>
      </c>
      <c r="B11" s="1014"/>
      <c r="C11" s="1014"/>
      <c r="D11" s="1128">
        <f>Formalien!$E$13</f>
      </c>
      <c r="E11" s="1128"/>
      <c r="F11" s="1128"/>
      <c r="G11" s="1128"/>
    </row>
    <row r="12" spans="1:7" ht="15" customHeight="1" x14ac:dyDescent="0.2">
      <c r="A12" s="1014" t="s">
        <v>118</v>
      </c>
      <c r="B12" s="1014"/>
      <c r="C12" s="1014"/>
      <c r="D12" s="1127">
        <f>Formalien!$E$10</f>
      </c>
      <c r="E12" s="1127"/>
      <c r="F12" s="1127"/>
      <c r="G12" s="1127"/>
    </row>
    <row r="13" spans="1:7" ht="15" customHeight="1" x14ac:dyDescent="0.2">
      <c r="A13" s="1014" t="s">
        <v>139</v>
      </c>
      <c r="B13" s="1014"/>
      <c r="C13" s="1014"/>
      <c r="D13" s="1127">
        <f>Formalien!$E$9</f>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c>
      <c r="B16" s="1014"/>
      <c r="C16" s="1014"/>
      <c r="D16" s="44">
        <f>'Deckbl UPV '!E21</f>
      </c>
      <c r="E16" s="12" t="str">
        <f>'Deckbl UPV '!F21</f>
      </c>
      <c r="F16" s="45"/>
      <c r="G16" s="14"/>
    </row>
    <row r="17" spans="1:7" x14ac:dyDescent="0.2">
      <c r="A17" s="1014">
        <f>'Deckbl UPV '!A22</f>
      </c>
      <c r="B17" s="1014"/>
      <c r="C17" s="1014"/>
      <c r="D17" s="55">
        <f>'Deckbl UPV '!E22</f>
      </c>
      <c r="E17" s="14"/>
      <c r="G17" s="14"/>
    </row>
    <row r="18" spans="1:7" x14ac:dyDescent="0.2">
      <c r="A18" s="1014" t="s">
        <v>340</v>
      </c>
      <c r="B18" s="1014"/>
      <c r="C18" s="1014"/>
      <c r="D18" s="44">
        <f>'Deckbl UPV '!E23</f>
      </c>
      <c r="E18" s="14"/>
      <c r="F18" s="45"/>
      <c r="G18" s="14"/>
    </row>
    <row r="19" spans="1:7" x14ac:dyDescent="0.2">
      <c r="C19" s="3">
        <f>'Deckbl UPV '!K24</f>
      </c>
      <c r="D19" s="46">
        <f>'Deckbl UPV '!E24</f>
      </c>
      <c r="E19" s="14"/>
      <c r="F19" s="45"/>
      <c r="G19" s="14"/>
    </row>
    <row r="20" spans="1:7" x14ac:dyDescent="0.2">
      <c r="C20" s="3">
        <f>'Deckbl UPV '!K26</f>
      </c>
      <c r="D20" s="47"/>
      <c r="E20" s="14"/>
      <c r="F20" s="14"/>
      <c r="G20" s="14"/>
    </row>
    <row r="21" spans="1:7" x14ac:dyDescent="0.2">
      <c r="C21" s="3">
        <f>'Deckbl UPV '!C27</f>
      </c>
      <c r="D21" s="47"/>
      <c r="E21" s="14"/>
      <c r="F21" s="14"/>
      <c r="G21" s="14"/>
    </row>
    <row r="22" spans="1:7" ht="13.5" thickBot="1" x14ac:dyDescent="0.25">
      <c r="C22" s="3">
        <f>'Deckbl UPV '!C28</f>
      </c>
      <c r="D22" s="48">
        <f>'Deckbl UPV '!E26</f>
      </c>
      <c r="E22" s="14"/>
      <c r="F22" s="45"/>
      <c r="G22" s="14"/>
    </row>
    <row r="23" spans="1:7" ht="13.5" thickTop="1" x14ac:dyDescent="0.2">
      <c r="E23" s="14"/>
      <c r="F23" s="14"/>
      <c r="G23" s="14"/>
    </row>
    <row r="24" spans="1:7" ht="16.5" thickBot="1" x14ac:dyDescent="0.3">
      <c r="A24" s="8"/>
      <c r="B24" s="8"/>
      <c r="C24" s="51" t="e">
        <f>'Deckbl UPV '!#REF!</f>
      </c>
      <c r="D24" s="49">
        <f>'Deckbl UPV '!E28</f>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c>
      <c r="D6" s="1138"/>
      <c r="E6" s="1138"/>
      <c r="F6" s="1138"/>
      <c r="G6" s="1138"/>
      <c r="H6" s="42"/>
    </row>
    <row r="7" spans="1:9" ht="14.45" customHeight="1" x14ac:dyDescent="0.2">
      <c r="A7" s="1014" t="s">
        <v>149</v>
      </c>
      <c r="B7" s="1014"/>
      <c r="C7" s="1127">
        <f>Formalien!$E$8</f>
      </c>
      <c r="D7" s="1127"/>
      <c r="E7" s="1127"/>
      <c r="F7" s="1127"/>
      <c r="G7" s="1127"/>
      <c r="H7" s="42"/>
    </row>
    <row r="8" spans="1:9" ht="15" customHeight="1" x14ac:dyDescent="0.2">
      <c r="A8" s="1014" t="s">
        <v>0</v>
      </c>
      <c r="B8" s="1014"/>
      <c r="C8" s="1135">
        <f>Formalien!$E$6</f>
      </c>
      <c r="D8" s="1135"/>
      <c r="E8" s="1135"/>
      <c r="F8" s="1135"/>
      <c r="G8" s="1135"/>
      <c r="H8" s="42"/>
    </row>
    <row r="9" spans="1:9" ht="15" x14ac:dyDescent="0.2">
      <c r="A9" s="1014" t="s">
        <v>1</v>
      </c>
      <c r="B9" s="1014"/>
      <c r="C9" s="1136">
        <f>Formalien!$E$3</f>
      </c>
      <c r="D9" s="1136"/>
      <c r="E9" s="1136"/>
      <c r="F9" s="1136"/>
      <c r="G9" s="1139"/>
      <c r="H9" s="42"/>
    </row>
    <row r="10" spans="1:9" ht="15" x14ac:dyDescent="0.2">
      <c r="B10" s="3"/>
      <c r="C10" s="1133">
        <f>Formalien!$E$5</f>
      </c>
      <c r="D10" s="1133"/>
      <c r="E10" s="1133"/>
      <c r="F10" s="3" t="s">
        <v>116</v>
      </c>
      <c r="G10" s="70">
        <f>Formalien!$E$4</f>
      </c>
      <c r="H10" s="42"/>
    </row>
    <row r="11" spans="1:9" ht="15" x14ac:dyDescent="0.2">
      <c r="A11" s="1014" t="s">
        <v>145</v>
      </c>
      <c r="B11" s="1014"/>
      <c r="C11" s="1134">
        <f>Formalien!$E$14</f>
      </c>
      <c r="D11" s="1134"/>
      <c r="E11" s="1134"/>
      <c r="F11" s="1134"/>
      <c r="G11" s="1140"/>
      <c r="H11" s="42"/>
    </row>
    <row r="12" spans="1:9" ht="15" customHeight="1" x14ac:dyDescent="0.2">
      <c r="A12" s="1" t="s">
        <v>117</v>
      </c>
      <c r="B12" s="1014" t="s">
        <v>121</v>
      </c>
      <c r="C12" s="1014"/>
      <c r="D12" s="1127">
        <f>Formalien!$E$12</f>
      </c>
      <c r="E12" s="1127"/>
      <c r="F12" s="1127"/>
      <c r="G12" s="1127"/>
      <c r="H12" s="42"/>
    </row>
    <row r="13" spans="1:9" ht="15" customHeight="1" x14ac:dyDescent="0.2">
      <c r="A13" s="1014" t="s">
        <v>121</v>
      </c>
      <c r="B13" s="1014"/>
      <c r="C13" s="1014"/>
      <c r="D13" s="1127">
        <f>Formalien!$E$13</f>
      </c>
      <c r="E13" s="1127"/>
      <c r="F13" s="1127"/>
      <c r="G13" s="1127"/>
      <c r="H13" s="42"/>
    </row>
    <row r="14" spans="1:9" ht="15" customHeight="1" x14ac:dyDescent="0.2">
      <c r="A14" s="1014" t="s">
        <v>118</v>
      </c>
      <c r="B14" s="1014"/>
      <c r="C14" s="1014"/>
      <c r="D14" s="1127">
        <f>Formalien!$E$10</f>
      </c>
      <c r="E14" s="1127"/>
      <c r="F14" s="1127"/>
      <c r="G14" s="1127"/>
      <c r="H14" s="42"/>
    </row>
    <row r="15" spans="1:9" ht="15" customHeight="1" x14ac:dyDescent="0.2">
      <c r="A15" s="3"/>
      <c r="B15" s="3"/>
      <c r="C15" s="3" t="s">
        <v>150</v>
      </c>
      <c r="D15" s="1127">
        <f>Formalien!$E$11</f>
      </c>
      <c r="E15" s="1127"/>
      <c r="F15" s="1127"/>
      <c r="G15" s="1127"/>
      <c r="H15" s="42"/>
    </row>
    <row r="16" spans="1:9" ht="15" customHeight="1" x14ac:dyDescent="0.2">
      <c r="A16" s="1014" t="s">
        <v>139</v>
      </c>
      <c r="B16" s="1014"/>
      <c r="C16" s="1014"/>
      <c r="D16" s="1137">
        <f>Formalien!$E$9</f>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c>
      <c r="B19" s="1014"/>
      <c r="C19" s="1014"/>
      <c r="D19" s="44">
        <f>'Deckbl UPV '!E21</f>
      </c>
      <c r="E19" s="12" t="s">
        <v>119</v>
      </c>
      <c r="F19" s="45"/>
      <c r="G19" s="14"/>
      <c r="H19" s="42"/>
    </row>
    <row r="20" spans="1:8" x14ac:dyDescent="0.2">
      <c r="A20" s="1014">
        <f>'Deckbl UPV '!A22</f>
      </c>
      <c r="B20" s="1014"/>
      <c r="C20" s="1014"/>
      <c r="D20" s="44">
        <f>'Deckbl UPV '!E22</f>
      </c>
      <c r="E20" s="14"/>
      <c r="G20" s="14"/>
      <c r="H20" s="42"/>
    </row>
    <row r="21" spans="1:8" ht="13.5" thickBot="1" x14ac:dyDescent="0.25">
      <c r="A21" s="1014" t="e">
        <f>'Deckbl UPV '!#REF!</f>
      </c>
      <c r="B21" s="1014"/>
      <c r="C21" s="1014"/>
      <c r="D21" s="191">
        <f>'Deckbl UPV '!E23</f>
      </c>
      <c r="E21" s="14"/>
      <c r="F21" s="45"/>
      <c r="G21" s="14"/>
      <c r="H21" s="42"/>
    </row>
    <row r="22" spans="1:8" x14ac:dyDescent="0.2">
      <c r="A22" s="1014">
        <f>'Deckbl UPV '!K24</f>
      </c>
      <c r="B22" s="1014"/>
      <c r="C22" s="1014"/>
      <c r="D22" s="53">
        <f>'Deckbl UPV '!E24</f>
      </c>
      <c r="E22" s="14"/>
      <c r="F22" s="45"/>
      <c r="G22" s="14"/>
      <c r="H22" s="42"/>
    </row>
    <row r="23" spans="1:8" x14ac:dyDescent="0.2">
      <c r="A23" s="1014">
        <f>'Deckbl UPV '!K26</f>
      </c>
      <c r="B23" s="1014"/>
      <c r="C23" s="1014"/>
      <c r="D23" s="47"/>
      <c r="E23" s="14"/>
      <c r="F23" s="14"/>
      <c r="G23" s="14"/>
      <c r="H23" s="42"/>
    </row>
    <row r="24" spans="1:8" x14ac:dyDescent="0.2">
      <c r="A24" s="1014">
        <f>'Deckbl UPV '!C27</f>
      </c>
      <c r="B24" s="1014"/>
      <c r="C24" s="1014"/>
      <c r="D24" s="47"/>
      <c r="E24" s="14"/>
      <c r="F24" s="14"/>
      <c r="G24" s="14"/>
      <c r="H24" s="42"/>
    </row>
    <row r="25" spans="1:8" ht="13.5" thickBot="1" x14ac:dyDescent="0.25">
      <c r="A25" s="1014">
        <f>'Deckbl UPV '!C28</f>
      </c>
      <c r="B25" s="1014"/>
      <c r="C25" s="1014"/>
      <c r="D25" s="54">
        <f>'Deckbl UPV '!E26</f>
      </c>
      <c r="E25" s="14"/>
      <c r="F25" s="45"/>
      <c r="G25" s="14"/>
      <c r="H25" s="42"/>
    </row>
    <row r="26" spans="1:8" ht="13.5" thickBot="1" x14ac:dyDescent="0.25">
      <c r="A26" s="14"/>
      <c r="B26" s="14"/>
      <c r="C26" s="51" t="e">
        <f>'Deckbl UPV '!#REF!</f>
      </c>
      <c r="D26" s="192">
        <f>'Deckbl UPV '!E28</f>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v>0</v>
      </c>
    </row>
    <row r="13" spans="1:8" ht="15.75" x14ac:dyDescent="0.25">
      <c r="A13" s="224"/>
      <c r="B13" s="208"/>
      <c r="D13" s="225"/>
      <c r="E13" s="240"/>
      <c r="F13" s="241"/>
      <c r="G13" s="243"/>
      <c r="H13" s="320">
        <f>SUM(E13*G13)</f>
        <v>0</v>
      </c>
    </row>
    <row r="14" spans="1:8" ht="15.75" x14ac:dyDescent="0.25">
      <c r="A14" s="224"/>
      <c r="B14" s="208"/>
      <c r="C14" s="208"/>
      <c r="D14" s="225"/>
      <c r="E14" s="240"/>
      <c r="F14" s="244"/>
      <c r="G14" s="243"/>
      <c r="H14" s="320">
        <f>SUM(E14*G14)</f>
        <v>0</v>
      </c>
    </row>
    <row r="15" spans="1:8" ht="15.75" x14ac:dyDescent="0.25">
      <c r="A15" s="224"/>
      <c r="B15" s="208"/>
      <c r="C15" s="208"/>
      <c r="D15" s="225"/>
      <c r="E15" s="240"/>
      <c r="F15" s="244"/>
      <c r="G15" s="243"/>
      <c r="H15" s="320">
        <f>SUM(E15*G15)</f>
        <v>0</v>
      </c>
    </row>
    <row r="16" spans="1:8" ht="15.75" x14ac:dyDescent="0.25">
      <c r="A16" s="236"/>
      <c r="B16" s="211"/>
      <c r="C16" s="127"/>
      <c r="D16" s="245"/>
      <c r="E16" s="240"/>
      <c r="F16" s="244"/>
      <c r="G16" s="243"/>
      <c r="H16" s="320">
        <f>SUM(E16*G16)</f>
        <v>0</v>
      </c>
    </row>
    <row r="17" spans="1:8" ht="16.5" thickBot="1" x14ac:dyDescent="0.3">
      <c r="A17" s="224"/>
      <c r="B17" s="208"/>
      <c r="C17" s="208"/>
      <c r="D17" s="188" t="s">
        <v>389</v>
      </c>
      <c r="E17" s="208"/>
      <c r="F17" s="208"/>
      <c r="G17" s="208"/>
      <c r="H17" s="321">
        <f>SUM(H12:H16)</f>
        <v>0</v>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v>0</v>
      </c>
    </row>
    <row r="21" spans="1:8" ht="15.75" x14ac:dyDescent="0.25">
      <c r="A21" s="224"/>
      <c r="B21" s="208"/>
      <c r="C21" s="208"/>
      <c r="D21" s="225"/>
      <c r="E21" s="240"/>
      <c r="F21" s="246"/>
      <c r="G21" s="242"/>
      <c r="H21" s="320">
        <f t="shared" si="0"/>
        <v>0</v>
      </c>
    </row>
    <row r="22" spans="1:8" ht="15.75" x14ac:dyDescent="0.25">
      <c r="A22" s="224"/>
      <c r="B22" s="208"/>
      <c r="D22" s="225"/>
      <c r="E22" s="240"/>
      <c r="F22" s="246"/>
      <c r="G22" s="242"/>
      <c r="H22" s="320">
        <f>SUM(E22*G33)</f>
        <v>0</v>
      </c>
    </row>
    <row r="23" spans="1:8" ht="15.75" x14ac:dyDescent="0.25">
      <c r="A23" s="224"/>
      <c r="B23" s="208"/>
      <c r="D23" s="225"/>
      <c r="E23" s="221"/>
      <c r="F23" s="246"/>
      <c r="G23" s="242"/>
      <c r="H23" s="320">
        <f t="shared" si="0"/>
        <v>0</v>
      </c>
    </row>
    <row r="24" spans="1:8" ht="15.75" x14ac:dyDescent="0.25">
      <c r="A24" s="224"/>
      <c r="B24" s="208"/>
      <c r="D24" s="225"/>
      <c r="E24" s="240"/>
      <c r="F24" s="246"/>
      <c r="G24" s="242"/>
      <c r="H24" s="320">
        <f>SUM(E24*G24)</f>
        <v>0</v>
      </c>
    </row>
    <row r="25" spans="1:8" ht="15.75" x14ac:dyDescent="0.25">
      <c r="A25" s="224"/>
      <c r="B25" s="208"/>
      <c r="D25" s="225"/>
      <c r="E25" s="221"/>
      <c r="F25" s="244"/>
      <c r="G25" s="242"/>
      <c r="H25" s="320">
        <f t="shared" si="0"/>
        <v>0</v>
      </c>
    </row>
    <row r="26" spans="1:8" ht="15.75" x14ac:dyDescent="0.25">
      <c r="A26" s="224"/>
      <c r="B26" s="208"/>
      <c r="C26" s="208"/>
      <c r="D26" s="225"/>
      <c r="E26" s="240"/>
      <c r="F26" s="207"/>
      <c r="G26" s="242"/>
      <c r="H26" s="320">
        <f t="shared" si="0"/>
        <v>0</v>
      </c>
    </row>
    <row r="27" spans="1:8" ht="15.75" x14ac:dyDescent="0.25">
      <c r="A27" s="224"/>
      <c r="B27" s="208"/>
      <c r="C27" s="208"/>
      <c r="D27" s="225"/>
      <c r="E27" s="240"/>
      <c r="F27" s="246"/>
      <c r="G27" s="242"/>
      <c r="H27" s="320">
        <f t="shared" si="0"/>
        <v>0</v>
      </c>
    </row>
    <row r="28" spans="1:8" ht="15.75" x14ac:dyDescent="0.25">
      <c r="A28" s="224"/>
      <c r="B28" s="208"/>
      <c r="C28" s="208"/>
      <c r="D28" s="208"/>
      <c r="E28" s="240"/>
      <c r="F28" s="244"/>
      <c r="G28" s="242"/>
      <c r="H28" s="320">
        <f t="shared" si="0"/>
        <v>0</v>
      </c>
    </row>
    <row r="29" spans="1:8" ht="15.75" x14ac:dyDescent="0.25">
      <c r="A29" s="236"/>
      <c r="B29" s="211"/>
      <c r="C29" s="127"/>
      <c r="D29" s="245"/>
      <c r="E29" s="240"/>
      <c r="F29" s="246"/>
      <c r="G29" s="242"/>
      <c r="H29" s="320">
        <f t="shared" si="0"/>
        <v>0</v>
      </c>
    </row>
    <row r="30" spans="1:8" ht="16.5" thickBot="1" x14ac:dyDescent="0.3">
      <c r="A30" s="224"/>
      <c r="B30" s="208"/>
      <c r="C30" s="208"/>
      <c r="D30" s="188" t="s">
        <v>389</v>
      </c>
      <c r="E30" s="208"/>
      <c r="F30" s="208"/>
      <c r="G30" s="208"/>
      <c r="H30" s="321">
        <f>SUM(H20:H29)</f>
        <v>0</v>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v>0</v>
      </c>
    </row>
    <row r="34" spans="1:8" ht="15.75" x14ac:dyDescent="0.25">
      <c r="A34" s="224"/>
      <c r="B34" s="208"/>
      <c r="D34" s="225"/>
      <c r="E34" s="247"/>
      <c r="F34" s="244"/>
      <c r="G34" s="248"/>
      <c r="H34" s="320">
        <f t="shared" ref="H34:H39" si="1">SUM(E34*G34)</f>
        <v>0</v>
      </c>
    </row>
    <row r="35" spans="1:8" ht="15.75" x14ac:dyDescent="0.25">
      <c r="A35" s="224"/>
      <c r="B35" s="1143"/>
      <c r="C35" s="806"/>
      <c r="D35" s="1144"/>
      <c r="E35" s="247"/>
      <c r="F35" s="207"/>
      <c r="G35" s="248"/>
      <c r="H35" s="320">
        <f t="shared" si="1"/>
        <v>0</v>
      </c>
    </row>
    <row r="36" spans="1:8" ht="15.75" x14ac:dyDescent="0.25">
      <c r="A36" s="224"/>
      <c r="B36" s="1143"/>
      <c r="C36" s="806"/>
      <c r="D36" s="1144"/>
      <c r="E36" s="247"/>
      <c r="F36" s="244"/>
      <c r="G36" s="248"/>
      <c r="H36" s="320">
        <f t="shared" si="1"/>
        <v>0</v>
      </c>
    </row>
    <row r="37" spans="1:8" ht="15.75" x14ac:dyDescent="0.25">
      <c r="A37" s="224"/>
      <c r="B37" s="1143"/>
      <c r="C37" s="806"/>
      <c r="D37" s="1144"/>
      <c r="E37" s="240"/>
      <c r="F37" s="207"/>
      <c r="G37" s="242"/>
      <c r="H37" s="320">
        <f t="shared" si="1"/>
        <v>0</v>
      </c>
    </row>
    <row r="38" spans="1:8" ht="15.75" x14ac:dyDescent="0.25">
      <c r="A38" s="224"/>
      <c r="B38" s="1143"/>
      <c r="C38" s="806"/>
      <c r="D38" s="1144"/>
      <c r="E38" s="240"/>
      <c r="F38" s="246"/>
      <c r="G38" s="242"/>
      <c r="H38" s="320">
        <f t="shared" si="1"/>
        <v>0</v>
      </c>
    </row>
    <row r="39" spans="1:8" ht="15.75" x14ac:dyDescent="0.25">
      <c r="A39" s="224"/>
      <c r="B39" s="1145"/>
      <c r="C39" s="1146"/>
      <c r="D39" s="1147"/>
      <c r="E39" s="240"/>
      <c r="F39" s="246"/>
      <c r="G39" s="242"/>
      <c r="H39" s="320">
        <f t="shared" si="1"/>
        <v>0</v>
      </c>
    </row>
    <row r="40" spans="1:8" ht="16.5" thickBot="1" x14ac:dyDescent="0.3">
      <c r="A40" s="235"/>
      <c r="B40" s="208"/>
      <c r="C40" s="208"/>
      <c r="D40" s="188" t="s">
        <v>389</v>
      </c>
      <c r="E40" s="208"/>
      <c r="F40" s="208"/>
      <c r="G40" s="208"/>
      <c r="H40" s="321">
        <f>SUM(H33:H39)</f>
        <v>0</v>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v>0</v>
      </c>
    </row>
    <row r="13" spans="1:6" ht="15.75" x14ac:dyDescent="0.25">
      <c r="A13" s="275"/>
      <c r="B13" s="275"/>
      <c r="C13" s="1155"/>
      <c r="D13" s="1156"/>
      <c r="E13" s="273"/>
      <c r="F13" s="274">
        <f>SUM(A13*E13)</f>
        <v>0</v>
      </c>
    </row>
    <row r="14" spans="1:6" ht="15.75" x14ac:dyDescent="0.25">
      <c r="A14" s="275"/>
      <c r="B14" s="275"/>
      <c r="C14" s="1155"/>
      <c r="D14" s="1160"/>
      <c r="E14" s="273"/>
      <c r="F14" s="274">
        <f>SUM(A14*E14)</f>
        <v>0</v>
      </c>
    </row>
    <row r="15" spans="1:6" ht="15.75" x14ac:dyDescent="0.25">
      <c r="A15" s="275"/>
      <c r="B15" s="275"/>
      <c r="C15" s="1155"/>
      <c r="D15" s="1160"/>
      <c r="E15" s="273"/>
      <c r="F15" s="274">
        <f>SUM(A15*E15)</f>
        <v>0</v>
      </c>
    </row>
    <row r="16" spans="1:6" ht="15.75" x14ac:dyDescent="0.25">
      <c r="A16" s="275"/>
      <c r="B16" s="275"/>
      <c r="C16" s="1155"/>
      <c r="D16" s="1160"/>
      <c r="E16" s="273"/>
      <c r="F16" s="274">
        <f t="shared" ref="F16:F44" si="0">SUM(A16*E16)</f>
        <v>0</v>
      </c>
    </row>
    <row r="17" spans="1:6" ht="15.75" x14ac:dyDescent="0.25">
      <c r="A17" s="275"/>
      <c r="B17" s="275"/>
      <c r="C17" s="1155"/>
      <c r="D17" s="1160"/>
      <c r="E17" s="273"/>
      <c r="F17" s="274">
        <f t="shared" si="0"/>
        <v>0</v>
      </c>
    </row>
    <row r="18" spans="1:6" ht="15.75" x14ac:dyDescent="0.25">
      <c r="A18" s="275"/>
      <c r="B18" s="275"/>
      <c r="C18" s="1155"/>
      <c r="D18" s="1160"/>
      <c r="E18" s="273"/>
      <c r="F18" s="274">
        <f t="shared" si="0"/>
        <v>0</v>
      </c>
    </row>
    <row r="19" spans="1:6" ht="15.75" x14ac:dyDescent="0.25">
      <c r="A19" s="275"/>
      <c r="B19" s="275"/>
      <c r="C19" s="1155"/>
      <c r="D19" s="1160"/>
      <c r="E19" s="273"/>
      <c r="F19" s="274">
        <f t="shared" si="0"/>
        <v>0</v>
      </c>
    </row>
    <row r="20" spans="1:6" ht="15.75" x14ac:dyDescent="0.25">
      <c r="A20" s="275"/>
      <c r="B20" s="275"/>
      <c r="C20" s="1155"/>
      <c r="D20" s="1160"/>
      <c r="E20" s="273"/>
      <c r="F20" s="274">
        <f t="shared" si="0"/>
        <v>0</v>
      </c>
    </row>
    <row r="21" spans="1:6" ht="15.75" x14ac:dyDescent="0.25">
      <c r="A21" s="275"/>
      <c r="B21" s="275"/>
      <c r="C21" s="1155"/>
      <c r="D21" s="1160"/>
      <c r="E21" s="273"/>
      <c r="F21" s="274">
        <f t="shared" si="0"/>
        <v>0</v>
      </c>
    </row>
    <row r="22" spans="1:6" ht="15.75" x14ac:dyDescent="0.25">
      <c r="A22" s="275"/>
      <c r="B22" s="275"/>
      <c r="C22" s="1155"/>
      <c r="D22" s="1160"/>
      <c r="E22" s="273"/>
      <c r="F22" s="274">
        <f t="shared" si="0"/>
        <v>0</v>
      </c>
    </row>
    <row r="23" spans="1:6" ht="15.75" x14ac:dyDescent="0.25">
      <c r="A23" s="275"/>
      <c r="B23" s="275"/>
      <c r="C23" s="1155"/>
      <c r="D23" s="1160"/>
      <c r="E23" s="273"/>
      <c r="F23" s="274">
        <f t="shared" si="0"/>
        <v>0</v>
      </c>
    </row>
    <row r="24" spans="1:6" ht="15.75" x14ac:dyDescent="0.25">
      <c r="A24" s="275"/>
      <c r="B24" s="275"/>
      <c r="C24" s="1155"/>
      <c r="D24" s="1160"/>
      <c r="E24" s="277"/>
      <c r="F24" s="274">
        <f t="shared" si="0"/>
        <v>0</v>
      </c>
    </row>
    <row r="25" spans="1:6" ht="15.75" x14ac:dyDescent="0.25">
      <c r="A25" s="275"/>
      <c r="B25" s="275"/>
      <c r="C25" s="1155"/>
      <c r="D25" s="1160"/>
      <c r="E25" s="273"/>
      <c r="F25" s="274">
        <f t="shared" si="0"/>
        <v>0</v>
      </c>
    </row>
    <row r="26" spans="1:6" ht="15.75" x14ac:dyDescent="0.25">
      <c r="A26" s="275"/>
      <c r="B26" s="275"/>
      <c r="C26" s="1155"/>
      <c r="D26" s="1156"/>
      <c r="E26" s="273"/>
      <c r="F26" s="274">
        <f t="shared" si="0"/>
        <v>0</v>
      </c>
    </row>
    <row r="27" spans="1:6" ht="15.75" x14ac:dyDescent="0.25">
      <c r="A27" s="275"/>
      <c r="B27" s="275"/>
      <c r="C27" s="1155"/>
      <c r="D27" s="1156"/>
      <c r="E27" s="273"/>
      <c r="F27" s="274">
        <f t="shared" si="0"/>
        <v>0</v>
      </c>
    </row>
    <row r="28" spans="1:6" ht="15.75" x14ac:dyDescent="0.25">
      <c r="A28" s="275"/>
      <c r="B28" s="275"/>
      <c r="C28" s="1155"/>
      <c r="D28" s="1156"/>
      <c r="E28" s="273"/>
      <c r="F28" s="274">
        <f t="shared" si="0"/>
        <v>0</v>
      </c>
    </row>
    <row r="29" spans="1:6" ht="15.75" x14ac:dyDescent="0.25">
      <c r="A29" s="275"/>
      <c r="B29" s="275"/>
      <c r="C29" s="1155"/>
      <c r="D29" s="1160"/>
      <c r="E29" s="273"/>
      <c r="F29" s="274">
        <f t="shared" si="0"/>
        <v>0</v>
      </c>
    </row>
    <row r="30" spans="1:6" ht="15.75" x14ac:dyDescent="0.25">
      <c r="A30" s="275"/>
      <c r="B30" s="275"/>
      <c r="C30" s="1155"/>
      <c r="D30" s="1160"/>
      <c r="E30" s="273"/>
      <c r="F30" s="274">
        <f t="shared" si="0"/>
        <v>0</v>
      </c>
    </row>
    <row r="31" spans="1:6" ht="15.75" x14ac:dyDescent="0.25">
      <c r="A31" s="275"/>
      <c r="B31" s="275"/>
      <c r="C31" s="1155"/>
      <c r="D31" s="1160"/>
      <c r="E31" s="273"/>
      <c r="F31" s="274">
        <f t="shared" si="0"/>
        <v>0</v>
      </c>
    </row>
    <row r="32" spans="1:6" ht="15.75" x14ac:dyDescent="0.25">
      <c r="A32" s="275"/>
      <c r="B32" s="275"/>
      <c r="C32" s="1155"/>
      <c r="D32" s="1160"/>
      <c r="E32" s="273"/>
      <c r="F32" s="274">
        <f t="shared" si="0"/>
        <v>0</v>
      </c>
    </row>
    <row r="33" spans="1:6" ht="15.75" x14ac:dyDescent="0.25">
      <c r="A33" s="275"/>
      <c r="B33" s="275"/>
      <c r="C33" s="1155"/>
      <c r="D33" s="1160"/>
      <c r="E33" s="273"/>
      <c r="F33" s="274">
        <f t="shared" si="0"/>
        <v>0</v>
      </c>
    </row>
    <row r="34" spans="1:6" ht="15.75" x14ac:dyDescent="0.25">
      <c r="A34" s="275"/>
      <c r="B34" s="275"/>
      <c r="C34" s="1155"/>
      <c r="D34" s="1160"/>
      <c r="E34" s="273"/>
      <c r="F34" s="274">
        <f t="shared" si="0"/>
        <v>0</v>
      </c>
    </row>
    <row r="35" spans="1:6" ht="15.75" x14ac:dyDescent="0.25">
      <c r="A35" s="275"/>
      <c r="B35" s="275"/>
      <c r="C35" s="1155"/>
      <c r="D35" s="1160"/>
      <c r="E35" s="273"/>
      <c r="F35" s="274">
        <f t="shared" si="0"/>
        <v>0</v>
      </c>
    </row>
    <row r="36" spans="1:6" ht="15.75" x14ac:dyDescent="0.25">
      <c r="A36" s="275"/>
      <c r="B36" s="275"/>
      <c r="C36" s="1155"/>
      <c r="D36" s="1160"/>
      <c r="E36" s="273"/>
      <c r="F36" s="274">
        <f t="shared" si="0"/>
        <v>0</v>
      </c>
    </row>
    <row r="37" spans="1:6" ht="15.75" x14ac:dyDescent="0.25">
      <c r="A37" s="278"/>
      <c r="B37" s="261"/>
      <c r="C37" s="1155"/>
      <c r="D37" s="1160"/>
      <c r="E37" s="279"/>
      <c r="F37" s="274">
        <f t="shared" si="0"/>
        <v>0</v>
      </c>
    </row>
    <row r="38" spans="1:6" ht="15.75" x14ac:dyDescent="0.25">
      <c r="A38" s="275"/>
      <c r="B38" s="275"/>
      <c r="C38" s="1155"/>
      <c r="D38" s="1160"/>
      <c r="E38" s="273"/>
      <c r="F38" s="274">
        <f t="shared" si="0"/>
        <v>0</v>
      </c>
    </row>
    <row r="39" spans="1:6" ht="15.75" x14ac:dyDescent="0.25">
      <c r="A39" s="275"/>
      <c r="B39" s="275"/>
      <c r="C39" s="1155"/>
      <c r="D39" s="1160"/>
      <c r="E39" s="273"/>
      <c r="F39" s="274">
        <f t="shared" si="0"/>
        <v>0</v>
      </c>
    </row>
    <row r="40" spans="1:6" ht="15.75" x14ac:dyDescent="0.25">
      <c r="A40" s="275"/>
      <c r="B40" s="275"/>
      <c r="C40" s="1155"/>
      <c r="D40" s="1160"/>
      <c r="E40" s="273"/>
      <c r="F40" s="274">
        <f t="shared" si="0"/>
        <v>0</v>
      </c>
    </row>
    <row r="41" spans="1:6" ht="15.75" x14ac:dyDescent="0.25">
      <c r="A41" s="275"/>
      <c r="B41" s="275"/>
      <c r="C41" s="1161"/>
      <c r="D41" s="1156"/>
      <c r="E41" s="273"/>
      <c r="F41" s="274">
        <f t="shared" si="0"/>
        <v>0</v>
      </c>
    </row>
    <row r="42" spans="1:6" ht="15.75" x14ac:dyDescent="0.25">
      <c r="A42" s="275"/>
      <c r="B42" s="275"/>
      <c r="C42" s="1155"/>
      <c r="D42" s="1160"/>
      <c r="E42" s="273"/>
      <c r="F42" s="274">
        <f t="shared" si="0"/>
        <v>0</v>
      </c>
    </row>
    <row r="43" spans="1:6" ht="15.75" x14ac:dyDescent="0.25">
      <c r="A43" s="275"/>
      <c r="B43" s="275"/>
      <c r="C43" s="1161"/>
      <c r="D43" s="1144"/>
      <c r="E43" s="280"/>
      <c r="F43" s="274">
        <f t="shared" si="0"/>
        <v>0</v>
      </c>
    </row>
    <row r="44" spans="1:6" ht="15.75" x14ac:dyDescent="0.25">
      <c r="A44" s="275"/>
      <c r="B44" s="275"/>
      <c r="C44" s="1161"/>
      <c r="D44" s="1156"/>
      <c r="E44" s="280"/>
      <c r="F44" s="274">
        <f t="shared" si="0"/>
        <v>0</v>
      </c>
    </row>
    <row r="45" spans="1:6" ht="15.75" x14ac:dyDescent="0.25">
      <c r="A45" s="275"/>
      <c r="B45" s="275"/>
      <c r="C45" s="1155"/>
      <c r="D45" s="1156"/>
      <c r="E45" s="280"/>
      <c r="F45" s="274">
        <f>SUM(A45*E45)</f>
        <v>0</v>
      </c>
    </row>
    <row r="46" spans="1:6" ht="15.75" x14ac:dyDescent="0.25">
      <c r="A46" s="279"/>
      <c r="B46" s="281"/>
      <c r="C46" s="1157" t="s">
        <v>376</v>
      </c>
      <c r="D46" s="1144"/>
      <c r="E46" s="281"/>
      <c r="F46" s="279"/>
    </row>
    <row r="47" spans="1:6" ht="15.75" x14ac:dyDescent="0.25">
      <c r="A47" s="278"/>
      <c r="B47" s="261"/>
      <c r="C47" s="282" t="s">
        <v>377</v>
      </c>
      <c r="D47" s="125"/>
      <c r="E47" s="280"/>
      <c r="F47" s="274">
        <f>SUM(A47*E47)</f>
        <v>0</v>
      </c>
    </row>
    <row r="48" spans="1:6" ht="15.75" x14ac:dyDescent="0.25">
      <c r="A48" s="283"/>
      <c r="B48" s="284"/>
      <c r="C48" s="282" t="s">
        <v>378</v>
      </c>
      <c r="D48" s="125"/>
      <c r="E48" s="285"/>
      <c r="F48" s="286">
        <f>SUM(A48*E48)</f>
        <v>0</v>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v>0</v>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v>0</v>
      </c>
    </row>
    <row r="9" spans="1:5" ht="15.75" x14ac:dyDescent="0.25">
      <c r="A9" s="275"/>
      <c r="B9" s="278"/>
      <c r="C9" s="306"/>
      <c r="D9" s="305"/>
      <c r="E9" s="274">
        <f>SUM(A9*D9)</f>
        <v>0</v>
      </c>
    </row>
    <row r="10" spans="1:5" ht="15.75" x14ac:dyDescent="0.25">
      <c r="A10" s="275"/>
      <c r="B10" s="278"/>
      <c r="C10" s="306"/>
      <c r="D10" s="305"/>
      <c r="E10" s="274">
        <f t="shared" ref="E10:E39" si="0">SUM(A10*D10)</f>
        <v>0</v>
      </c>
    </row>
    <row r="11" spans="1:5" ht="15.75" x14ac:dyDescent="0.25">
      <c r="A11" s="275"/>
      <c r="B11" s="278"/>
      <c r="C11" s="306"/>
      <c r="D11" s="305"/>
      <c r="E11" s="274">
        <f t="shared" si="0"/>
        <v>0</v>
      </c>
    </row>
    <row r="12" spans="1:5" ht="15.75" x14ac:dyDescent="0.25">
      <c r="A12" s="275"/>
      <c r="B12" s="278"/>
      <c r="C12" s="306"/>
      <c r="D12" s="305"/>
      <c r="E12" s="274">
        <f t="shared" si="0"/>
        <v>0</v>
      </c>
    </row>
    <row r="13" spans="1:5" ht="15.75" x14ac:dyDescent="0.25">
      <c r="A13" s="275"/>
      <c r="B13" s="278"/>
      <c r="C13" s="306"/>
      <c r="D13" s="305"/>
      <c r="E13" s="274">
        <f t="shared" si="0"/>
        <v>0</v>
      </c>
    </row>
    <row r="14" spans="1:5" ht="15.75" x14ac:dyDescent="0.25">
      <c r="A14" s="275"/>
      <c r="B14" s="278"/>
      <c r="C14" s="306"/>
      <c r="D14" s="305"/>
      <c r="E14" s="274">
        <f t="shared" si="0"/>
        <v>0</v>
      </c>
    </row>
    <row r="15" spans="1:5" ht="15.75" x14ac:dyDescent="0.25">
      <c r="A15" s="275"/>
      <c r="B15" s="278"/>
      <c r="C15" s="306"/>
      <c r="D15" s="305"/>
      <c r="E15" s="274">
        <f t="shared" si="0"/>
        <v>0</v>
      </c>
    </row>
    <row r="16" spans="1:5" ht="15.75" x14ac:dyDescent="0.25">
      <c r="A16" s="275"/>
      <c r="B16" s="278"/>
      <c r="C16" s="306"/>
      <c r="D16" s="305"/>
      <c r="E16" s="274">
        <f t="shared" si="0"/>
        <v>0</v>
      </c>
    </row>
    <row r="17" spans="1:5" ht="15.75" x14ac:dyDescent="0.25">
      <c r="A17" s="275"/>
      <c r="B17" s="278"/>
      <c r="C17" s="306"/>
      <c r="D17" s="305"/>
      <c r="E17" s="274">
        <f t="shared" si="0"/>
        <v>0</v>
      </c>
    </row>
    <row r="18" spans="1:5" ht="15.75" x14ac:dyDescent="0.25">
      <c r="A18" s="275"/>
      <c r="B18" s="278"/>
      <c r="C18" s="306"/>
      <c r="D18" s="305"/>
      <c r="E18" s="274">
        <f t="shared" si="0"/>
        <v>0</v>
      </c>
    </row>
    <row r="19" spans="1:5" ht="15.75" x14ac:dyDescent="0.25">
      <c r="A19" s="275"/>
      <c r="B19" s="278"/>
      <c r="C19" s="306"/>
      <c r="D19" s="305"/>
      <c r="E19" s="274">
        <f t="shared" si="0"/>
        <v>0</v>
      </c>
    </row>
    <row r="20" spans="1:5" ht="15.75" x14ac:dyDescent="0.25">
      <c r="A20" s="275"/>
      <c r="B20" s="278"/>
      <c r="C20" s="306"/>
      <c r="D20" s="305"/>
      <c r="E20" s="274">
        <f t="shared" si="0"/>
        <v>0</v>
      </c>
    </row>
    <row r="21" spans="1:5" ht="15.75" x14ac:dyDescent="0.25">
      <c r="A21" s="275"/>
      <c r="B21" s="278"/>
      <c r="C21" s="306"/>
      <c r="D21" s="307"/>
      <c r="E21" s="274">
        <f t="shared" si="0"/>
        <v>0</v>
      </c>
    </row>
    <row r="22" spans="1:5" ht="15.75" x14ac:dyDescent="0.25">
      <c r="A22" s="275"/>
      <c r="B22" s="278"/>
      <c r="C22" s="306"/>
      <c r="D22" s="307"/>
      <c r="E22" s="274">
        <f t="shared" si="0"/>
        <v>0</v>
      </c>
    </row>
    <row r="23" spans="1:5" ht="15.75" x14ac:dyDescent="0.25">
      <c r="A23" s="275"/>
      <c r="B23" s="278"/>
      <c r="C23" s="306"/>
      <c r="D23" s="307"/>
      <c r="E23" s="274">
        <f t="shared" si="0"/>
        <v>0</v>
      </c>
    </row>
    <row r="24" spans="1:5" ht="15.75" x14ac:dyDescent="0.25">
      <c r="A24" s="275"/>
      <c r="B24" s="278"/>
      <c r="C24" s="306"/>
      <c r="D24" s="307"/>
      <c r="E24" s="274">
        <f t="shared" si="0"/>
        <v>0</v>
      </c>
    </row>
    <row r="25" spans="1:5" ht="15.75" x14ac:dyDescent="0.25">
      <c r="A25" s="275"/>
      <c r="B25" s="278"/>
      <c r="C25" s="306"/>
      <c r="D25" s="307"/>
      <c r="E25" s="274">
        <f t="shared" si="0"/>
        <v>0</v>
      </c>
    </row>
    <row r="26" spans="1:5" ht="15.75" x14ac:dyDescent="0.25">
      <c r="A26" s="275"/>
      <c r="B26" s="278"/>
      <c r="C26" s="306"/>
      <c r="D26" s="307"/>
      <c r="E26" s="274">
        <f t="shared" si="0"/>
        <v>0</v>
      </c>
    </row>
    <row r="27" spans="1:5" ht="15.75" x14ac:dyDescent="0.25">
      <c r="A27" s="275"/>
      <c r="B27" s="278"/>
      <c r="C27" s="308"/>
      <c r="D27" s="307"/>
      <c r="E27" s="274">
        <f t="shared" si="0"/>
        <v>0</v>
      </c>
    </row>
    <row r="28" spans="1:5" ht="15.75" x14ac:dyDescent="0.25">
      <c r="A28" s="275"/>
      <c r="B28" s="278"/>
      <c r="C28" s="308"/>
      <c r="D28" s="307"/>
      <c r="E28" s="274">
        <f t="shared" si="0"/>
        <v>0</v>
      </c>
    </row>
    <row r="29" spans="1:5" ht="15.75" x14ac:dyDescent="0.25">
      <c r="A29" s="275"/>
      <c r="B29" s="278"/>
      <c r="C29" s="306"/>
      <c r="D29" s="307"/>
      <c r="E29" s="274">
        <f t="shared" si="0"/>
        <v>0</v>
      </c>
    </row>
    <row r="30" spans="1:5" ht="15.75" x14ac:dyDescent="0.25">
      <c r="A30" s="275"/>
      <c r="B30" s="278"/>
      <c r="C30" s="306"/>
      <c r="D30" s="307"/>
      <c r="E30" s="274">
        <f t="shared" si="0"/>
        <v>0</v>
      </c>
    </row>
    <row r="31" spans="1:5" ht="15.75" x14ac:dyDescent="0.25">
      <c r="A31" s="275"/>
      <c r="B31" s="278"/>
      <c r="C31" s="260"/>
      <c r="D31" s="274"/>
      <c r="E31" s="274">
        <f t="shared" si="0"/>
        <v>0</v>
      </c>
    </row>
    <row r="32" spans="1:5" ht="15.75" x14ac:dyDescent="0.25">
      <c r="A32" s="275"/>
      <c r="B32" s="278"/>
      <c r="C32" s="276"/>
      <c r="D32" s="274"/>
      <c r="E32" s="274">
        <f t="shared" si="0"/>
        <v>0</v>
      </c>
    </row>
    <row r="33" spans="1:5" ht="15.75" x14ac:dyDescent="0.25">
      <c r="A33" s="275"/>
      <c r="B33" s="278"/>
      <c r="C33" s="306"/>
      <c r="D33" s="307"/>
      <c r="E33" s="274">
        <f t="shared" si="0"/>
        <v>0</v>
      </c>
    </row>
    <row r="34" spans="1:5" ht="15.75" x14ac:dyDescent="0.25">
      <c r="A34" s="275"/>
      <c r="B34" s="278"/>
      <c r="C34" s="306"/>
      <c r="D34" s="307"/>
      <c r="E34" s="274">
        <f t="shared" si="0"/>
        <v>0</v>
      </c>
    </row>
    <row r="35" spans="1:5" ht="15.75" x14ac:dyDescent="0.25">
      <c r="A35" s="275"/>
      <c r="B35" s="278"/>
      <c r="C35" s="276"/>
      <c r="D35" s="274"/>
      <c r="E35" s="274">
        <f t="shared" si="0"/>
        <v>0</v>
      </c>
    </row>
    <row r="36" spans="1:5" ht="15.75" x14ac:dyDescent="0.25">
      <c r="A36" s="278"/>
      <c r="B36" s="261"/>
      <c r="C36" s="279"/>
      <c r="D36" s="309"/>
      <c r="E36" s="274">
        <f t="shared" si="0"/>
        <v>0</v>
      </c>
    </row>
    <row r="37" spans="1:5" ht="15.75" x14ac:dyDescent="0.25">
      <c r="A37" s="278"/>
      <c r="B37" s="261"/>
      <c r="C37" s="279"/>
      <c r="D37" s="309"/>
      <c r="E37" s="274">
        <f t="shared" si="0"/>
        <v>0</v>
      </c>
    </row>
    <row r="38" spans="1:5" ht="15.75" x14ac:dyDescent="0.25">
      <c r="A38" s="278"/>
      <c r="B38" s="261"/>
      <c r="C38" s="279"/>
      <c r="D38" s="309"/>
      <c r="E38" s="274">
        <f t="shared" si="0"/>
        <v>0</v>
      </c>
    </row>
    <row r="39" spans="1:5" ht="15.75" x14ac:dyDescent="0.25">
      <c r="A39" s="278"/>
      <c r="B39" s="261"/>
      <c r="C39" s="299"/>
      <c r="D39" s="274"/>
      <c r="E39" s="274">
        <f t="shared" si="0"/>
        <v>0</v>
      </c>
    </row>
    <row r="40" spans="1:5" ht="15.75" x14ac:dyDescent="0.25">
      <c r="A40" s="301"/>
      <c r="B40" s="310"/>
      <c r="C40" s="311" t="s">
        <v>399</v>
      </c>
      <c r="D40" s="312"/>
      <c r="E40" s="301"/>
    </row>
    <row r="41" spans="1:5" ht="16.5" thickBot="1" x14ac:dyDescent="0.3">
      <c r="A41" s="288"/>
      <c r="B41" s="288"/>
      <c r="C41" s="1176" t="s">
        <v>400</v>
      </c>
      <c r="D41" s="1177"/>
      <c r="E41" s="313">
        <f>SUM(E8:E40)</f>
        <v>0</v>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c>
      <c r="E3" s="1269"/>
      <c r="F3" s="1269"/>
      <c r="G3" s="1269"/>
      <c r="H3" s="1270" t="s">
        <v>579</v>
      </c>
      <c r="I3" s="959"/>
      <c r="J3" s="959"/>
      <c r="K3" s="959"/>
    </row>
    <row r="4" spans="1:13" ht="14.45" customHeight="1" x14ac:dyDescent="0.25">
      <c r="A4" s="1271" t="s">
        <v>578</v>
      </c>
      <c r="B4" s="1271"/>
      <c r="C4" s="1210"/>
      <c r="D4" s="1272">
        <f>Formalien!$E$6</f>
      </c>
      <c r="E4" s="1272"/>
      <c r="F4" s="1272"/>
      <c r="G4" s="1273">
        <f>IF(Formalien!$E$5="",Formalien!$E$4,Formalien!$E$4&amp;" / "&amp;Formalien!$E$5)</f>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254" t="s">
        <v>635</v>
      </c>
      <c r="C12" s="1255"/>
      <c r="D12" s="1255"/>
      <c r="E12" s="1256"/>
      <c r="F12" s="707">
        <v>1</v>
      </c>
      <c r="G12" s="707"/>
      <c r="H12" s="1257">
        <v>150</v>
      </c>
      <c r="I12" s="1258"/>
      <c r="J12" s="721">
        <v>1</v>
      </c>
      <c r="K12" s="722">
        <f>(F12*H12*J12)</f>
      </c>
      <c r="M12" s="661" t="s">
        <v>587</v>
      </c>
    </row>
    <row r="13" spans="1:13" ht="16.899999999999999" customHeight="1" thickBot="1" x14ac:dyDescent="0.3">
      <c r="A13" s="720"/>
      <c r="B13" s="708" t="s">
        <v>636</v>
      </c>
      <c r="C13" s="709"/>
      <c r="D13" s="710"/>
      <c r="E13" s="711"/>
      <c r="F13" s="712"/>
      <c r="G13" s="712"/>
      <c r="H13" s="1259"/>
      <c r="I13" s="1260"/>
      <c r="J13" s="723">
        <v>1</v>
      </c>
      <c r="K13" s="724">
        <f t="shared" ref="K13:K23" si="0">(F13*H13*J13)</f>
      </c>
      <c r="M13" s="662" t="s">
        <v>584</v>
      </c>
    </row>
    <row r="14" spans="1:13" ht="16.899999999999999" customHeight="1" x14ac:dyDescent="0.25">
      <c r="A14" s="649" t="s">
        <v>81</v>
      </c>
      <c r="B14" s="1261"/>
      <c r="C14" s="1262"/>
      <c r="D14" s="1262"/>
      <c r="E14" s="1263"/>
      <c r="F14" s="713">
        <v>1</v>
      </c>
      <c r="G14" s="713"/>
      <c r="H14" s="1264"/>
      <c r="I14" s="1265"/>
      <c r="J14" s="725">
        <v>1</v>
      </c>
      <c r="K14" s="726">
        <f t="shared" si="0"/>
      </c>
      <c r="M14" s="662" t="s">
        <v>585</v>
      </c>
    </row>
    <row r="15" spans="1:13" ht="16.899999999999999" customHeight="1" x14ac:dyDescent="0.25">
      <c r="A15" s="649" t="s">
        <v>90</v>
      </c>
      <c r="B15" s="1238"/>
      <c r="C15" s="1239"/>
      <c r="D15" s="1239"/>
      <c r="E15" s="1240"/>
      <c r="F15" s="649">
        <v>1</v>
      </c>
      <c r="G15" s="649"/>
      <c r="H15" s="1243"/>
      <c r="I15" s="1244"/>
      <c r="J15" s="727">
        <v>1</v>
      </c>
      <c r="K15" s="728">
        <f t="shared" si="0"/>
      </c>
      <c r="M15" s="662" t="s">
        <v>589</v>
      </c>
    </row>
    <row r="16" spans="1:13" ht="16.899999999999999" customHeight="1" x14ac:dyDescent="0.25">
      <c r="A16" s="649" t="s">
        <v>93</v>
      </c>
      <c r="B16" s="1238"/>
      <c r="C16" s="1239"/>
      <c r="D16" s="1239"/>
      <c r="E16" s="1240"/>
      <c r="F16" s="649">
        <v>1</v>
      </c>
      <c r="G16" s="649"/>
      <c r="H16" s="1243"/>
      <c r="I16" s="1244"/>
      <c r="J16" s="727">
        <v>1</v>
      </c>
      <c r="K16" s="728">
        <f t="shared" si="0"/>
      </c>
      <c r="M16" s="664" t="s">
        <v>593</v>
      </c>
    </row>
    <row r="17" spans="1:15" ht="16.899999999999999" customHeight="1" x14ac:dyDescent="0.25">
      <c r="A17" s="649" t="s">
        <v>98</v>
      </c>
      <c r="B17" s="1238"/>
      <c r="C17" s="1239"/>
      <c r="D17" s="1239"/>
      <c r="E17" s="1240"/>
      <c r="F17" s="649">
        <v>1</v>
      </c>
      <c r="G17" s="649"/>
      <c r="H17" s="1243"/>
      <c r="I17" s="1244"/>
      <c r="J17" s="727">
        <v>1</v>
      </c>
      <c r="K17" s="728">
        <f t="shared" si="0"/>
      </c>
      <c r="M17" s="702" t="s">
        <v>604</v>
      </c>
    </row>
    <row r="18" spans="1:15" ht="16.899999999999999" customHeight="1" x14ac:dyDescent="0.25">
      <c r="A18" s="649" t="s">
        <v>101</v>
      </c>
      <c r="B18" s="1238"/>
      <c r="C18" s="1239"/>
      <c r="D18" s="1239"/>
      <c r="E18" s="1240"/>
      <c r="F18" s="649">
        <v>1</v>
      </c>
      <c r="G18" s="649"/>
      <c r="H18" s="1243"/>
      <c r="I18" s="1244"/>
      <c r="J18" s="727">
        <v>1</v>
      </c>
      <c r="K18" s="728">
        <f t="shared" si="0"/>
      </c>
      <c r="M18" s="702" t="s">
        <v>605</v>
      </c>
    </row>
    <row r="19" spans="1:15" ht="16.899999999999999" customHeight="1" x14ac:dyDescent="0.25">
      <c r="A19" s="649" t="s">
        <v>609</v>
      </c>
      <c r="B19" s="699"/>
      <c r="C19" s="700"/>
      <c r="D19" s="700"/>
      <c r="E19" s="701"/>
      <c r="F19" s="649">
        <v>1</v>
      </c>
      <c r="G19" s="649"/>
      <c r="H19" s="1245"/>
      <c r="I19" s="1246"/>
      <c r="J19" s="727">
        <v>1</v>
      </c>
      <c r="K19" s="728">
        <f t="shared" si="0"/>
      </c>
      <c r="M19" s="702"/>
    </row>
    <row r="20" spans="1:15" ht="16.899999999999999" customHeight="1" x14ac:dyDescent="0.25">
      <c r="A20" s="649" t="s">
        <v>610</v>
      </c>
      <c r="B20" s="1238"/>
      <c r="C20" s="1239"/>
      <c r="D20" s="1239"/>
      <c r="E20" s="1240"/>
      <c r="F20" s="649">
        <v>1</v>
      </c>
      <c r="G20" s="649"/>
      <c r="H20" s="1243"/>
      <c r="I20" s="1244"/>
      <c r="J20" s="727">
        <v>1</v>
      </c>
      <c r="K20" s="728">
        <f t="shared" si="0"/>
      </c>
      <c r="M20" s="702" t="s">
        <v>606</v>
      </c>
    </row>
    <row r="21" spans="1:15" ht="16.899999999999999" customHeight="1" x14ac:dyDescent="0.25">
      <c r="A21" s="649" t="s">
        <v>103</v>
      </c>
      <c r="B21" s="1238"/>
      <c r="C21" s="1239"/>
      <c r="D21" s="1239"/>
      <c r="E21" s="1240"/>
      <c r="F21" s="649">
        <v>1</v>
      </c>
      <c r="G21" s="649"/>
      <c r="H21" s="1245"/>
      <c r="I21" s="1246"/>
      <c r="J21" s="727">
        <v>1</v>
      </c>
      <c r="K21" s="728"/>
      <c r="M21" s="702" t="s">
        <v>590</v>
      </c>
    </row>
    <row r="22" spans="1:15" ht="16.899999999999999" customHeight="1" x14ac:dyDescent="0.25">
      <c r="A22" s="649" t="s">
        <v>105</v>
      </c>
      <c r="B22" s="1238"/>
      <c r="C22" s="1239"/>
      <c r="D22" s="1239"/>
      <c r="E22" s="1240"/>
      <c r="F22" s="729"/>
      <c r="G22" s="649"/>
      <c r="H22" s="1243"/>
      <c r="I22" s="1244"/>
      <c r="J22" s="727"/>
      <c r="K22" s="728">
        <f t="shared" si="0"/>
      </c>
      <c r="M22" s="662" t="s">
        <v>586</v>
      </c>
    </row>
    <row r="23" spans="1:15" ht="16.899999999999999" customHeight="1" thickBot="1" x14ac:dyDescent="0.3">
      <c r="A23" s="649" t="s">
        <v>109</v>
      </c>
      <c r="B23" s="730"/>
      <c r="C23" s="700"/>
      <c r="D23" s="700"/>
      <c r="E23" s="731"/>
      <c r="F23" s="649"/>
      <c r="G23" s="732"/>
      <c r="H23" s="1243"/>
      <c r="I23" s="1244"/>
      <c r="J23" s="727"/>
      <c r="K23" s="724">
        <f t="shared" si="0"/>
      </c>
      <c r="M23" s="702" t="s">
        <v>591</v>
      </c>
    </row>
    <row r="24" spans="1:15" ht="16.899999999999999" customHeight="1" thickBot="1" x14ac:dyDescent="0.3">
      <c r="A24" s="649" t="s">
        <v>611</v>
      </c>
      <c r="B24" s="1238"/>
      <c r="C24" s="1239"/>
      <c r="D24" s="1239"/>
      <c r="E24" s="1240"/>
      <c r="F24" s="648"/>
      <c r="G24" s="1241" t="s">
        <v>639</v>
      </c>
      <c r="H24" s="1242"/>
      <c r="I24" s="1242"/>
      <c r="J24" s="1242"/>
      <c r="K24" s="733">
        <f>SUM(K12:K23)</f>
      </c>
      <c r="M24" s="655" t="s">
        <v>592</v>
      </c>
    </row>
    <row r="25" spans="1:15" ht="18" customHeight="1" thickBot="1" x14ac:dyDescent="0.3">
      <c r="A25" s="1216" t="s">
        <v>569</v>
      </c>
      <c r="B25" s="1217"/>
      <c r="C25" s="1218"/>
      <c r="D25" s="1218"/>
      <c r="E25" s="1219"/>
      <c r="F25" s="834"/>
      <c r="G25" s="834"/>
      <c r="H25" s="834"/>
      <c r="I25" s="834"/>
      <c r="J25" s="834"/>
      <c r="K25" s="1220"/>
      <c r="M25" s="663" t="s">
        <v>588</v>
      </c>
      <c r="O25" s="627"/>
    </row>
    <row r="26" spans="1:15" ht="18" customHeight="1" x14ac:dyDescent="0.2">
      <c r="A26" s="1221" t="s">
        <v>608</v>
      </c>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664" t="s">
        <v>598</v>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230" t="s">
        <v>571</v>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211"/>
      <c r="C34" s="1212"/>
      <c r="D34" s="1212"/>
      <c r="E34" s="1213"/>
      <c r="F34" s="740"/>
      <c r="G34" s="713"/>
      <c r="H34" s="1214"/>
      <c r="I34" s="1215"/>
      <c r="J34" s="725">
        <v>1</v>
      </c>
      <c r="K34" s="741">
        <f>(F34*H34*J34)</f>
      </c>
      <c r="M34" s="664" t="s">
        <v>593</v>
      </c>
    </row>
    <row r="35" spans="1:14" ht="16.899999999999999" customHeight="1" x14ac:dyDescent="0.25">
      <c r="A35" s="742" t="s">
        <v>81</v>
      </c>
      <c r="B35" s="1196"/>
      <c r="C35" s="1197"/>
      <c r="D35" s="1197"/>
      <c r="E35" s="1198"/>
      <c r="F35" s="729"/>
      <c r="G35" s="649"/>
      <c r="H35" s="1199"/>
      <c r="I35" s="1200"/>
      <c r="J35" s="727">
        <v>1</v>
      </c>
      <c r="K35" s="743">
        <f t="shared" ref="K35:K44" si="1">(F35*H35*J35)</f>
      </c>
      <c r="M35" s="664" t="s">
        <v>601</v>
      </c>
    </row>
    <row r="36" spans="1:14" ht="16.899999999999999" customHeight="1" x14ac:dyDescent="0.25">
      <c r="A36" s="742" t="s">
        <v>90</v>
      </c>
      <c r="B36" s="1196"/>
      <c r="C36" s="1197"/>
      <c r="D36" s="1197"/>
      <c r="E36" s="1198"/>
      <c r="F36" s="729"/>
      <c r="G36" s="649"/>
      <c r="H36" s="1199"/>
      <c r="I36" s="1200"/>
      <c r="J36" s="727">
        <v>1</v>
      </c>
      <c r="K36" s="743">
        <f t="shared" si="1"/>
      </c>
      <c r="M36" s="665" t="s">
        <v>607</v>
      </c>
    </row>
    <row r="37" spans="1:14" ht="16.899999999999999" customHeight="1" x14ac:dyDescent="0.25">
      <c r="A37" s="742" t="s">
        <v>93</v>
      </c>
      <c r="B37" s="1196"/>
      <c r="C37" s="1197"/>
      <c r="D37" s="1197"/>
      <c r="E37" s="1198"/>
      <c r="F37" s="729"/>
      <c r="G37" s="649"/>
      <c r="H37" s="1199"/>
      <c r="I37" s="1200"/>
      <c r="J37" s="727">
        <v>1</v>
      </c>
      <c r="K37" s="743">
        <f t="shared" si="1"/>
      </c>
      <c r="L37" s="623"/>
      <c r="M37" s="664" t="s">
        <v>602</v>
      </c>
    </row>
    <row r="38" spans="1:14" ht="16.899999999999999" customHeight="1" x14ac:dyDescent="0.25">
      <c r="A38" s="742" t="s">
        <v>98</v>
      </c>
      <c r="B38" s="1196"/>
      <c r="C38" s="1197"/>
      <c r="D38" s="1197"/>
      <c r="E38" s="1198"/>
      <c r="F38" s="729"/>
      <c r="G38" s="649"/>
      <c r="H38" s="1199"/>
      <c r="I38" s="1200"/>
      <c r="J38" s="727">
        <v>1</v>
      </c>
      <c r="K38" s="743">
        <f t="shared" si="1"/>
      </c>
      <c r="M38" s="664" t="s">
        <v>599</v>
      </c>
      <c r="N38" s="624">
        <v>1</v>
      </c>
    </row>
    <row r="39" spans="1:14" ht="16.899999999999999" customHeight="1" x14ac:dyDescent="0.25">
      <c r="A39" s="742" t="s">
        <v>101</v>
      </c>
      <c r="B39" s="1196"/>
      <c r="C39" s="1197"/>
      <c r="D39" s="1197"/>
      <c r="E39" s="1198"/>
      <c r="F39" s="729"/>
      <c r="G39" s="649"/>
      <c r="H39" s="1199"/>
      <c r="I39" s="1200"/>
      <c r="J39" s="727">
        <v>1</v>
      </c>
      <c r="K39" s="743">
        <f t="shared" si="1"/>
      </c>
      <c r="M39" s="664" t="s">
        <v>594</v>
      </c>
    </row>
    <row r="40" spans="1:14" ht="16.899999999999999" customHeight="1" x14ac:dyDescent="0.25">
      <c r="A40" s="742" t="s">
        <v>609</v>
      </c>
      <c r="B40" s="1196"/>
      <c r="C40" s="1197"/>
      <c r="D40" s="1197"/>
      <c r="E40" s="1198"/>
      <c r="F40" s="729"/>
      <c r="G40" s="649"/>
      <c r="H40" s="1199"/>
      <c r="I40" s="1200"/>
      <c r="J40" s="727">
        <v>1</v>
      </c>
      <c r="K40" s="743">
        <f t="shared" si="1"/>
      </c>
      <c r="M40" s="664" t="s">
        <v>600</v>
      </c>
    </row>
    <row r="41" spans="1:14" ht="16.899999999999999" customHeight="1" x14ac:dyDescent="0.25">
      <c r="A41" s="742" t="s">
        <v>610</v>
      </c>
      <c r="B41" s="1196"/>
      <c r="C41" s="1197"/>
      <c r="D41" s="1197"/>
      <c r="E41" s="1198"/>
      <c r="F41" s="729"/>
      <c r="G41" s="649"/>
      <c r="H41" s="1199"/>
      <c r="I41" s="1200"/>
      <c r="J41" s="727">
        <v>1</v>
      </c>
      <c r="K41" s="743">
        <f t="shared" si="1"/>
      </c>
      <c r="M41" s="664" t="s">
        <v>603</v>
      </c>
    </row>
    <row r="42" spans="1:14" ht="16.899999999999999" customHeight="1" x14ac:dyDescent="0.25">
      <c r="A42" s="742" t="s">
        <v>103</v>
      </c>
      <c r="B42" s="1196"/>
      <c r="C42" s="1197"/>
      <c r="D42" s="1197"/>
      <c r="E42" s="1198"/>
      <c r="F42" s="729"/>
      <c r="G42" s="649"/>
      <c r="H42" s="1199"/>
      <c r="I42" s="1200"/>
      <c r="J42" s="727">
        <v>1</v>
      </c>
      <c r="K42" s="743">
        <f t="shared" si="1"/>
      </c>
    </row>
    <row r="43" spans="1:14" ht="16.899999999999999" customHeight="1" x14ac:dyDescent="0.25">
      <c r="A43" s="742" t="s">
        <v>103</v>
      </c>
      <c r="B43" s="1196"/>
      <c r="C43" s="1197"/>
      <c r="D43" s="1197"/>
      <c r="E43" s="1198"/>
      <c r="F43" s="729"/>
      <c r="G43" s="649"/>
      <c r="H43" s="1199"/>
      <c r="I43" s="1200"/>
      <c r="J43" s="727">
        <v>1</v>
      </c>
      <c r="K43" s="743">
        <f t="shared" si="1"/>
      </c>
    </row>
    <row r="44" spans="1:14" ht="16.899999999999999" customHeight="1" thickBot="1" x14ac:dyDescent="0.3">
      <c r="A44" s="744" t="s">
        <v>105</v>
      </c>
      <c r="B44" s="1201"/>
      <c r="C44" s="1202"/>
      <c r="D44" s="1202"/>
      <c r="E44" s="1203"/>
      <c r="F44" s="729"/>
      <c r="G44" s="649"/>
      <c r="H44" s="1199"/>
      <c r="I44" s="1200"/>
      <c r="J44" s="745">
        <v>1</v>
      </c>
      <c r="K44" s="746">
        <f t="shared" si="1"/>
      </c>
    </row>
    <row r="45" spans="1:14" ht="16.899999999999999" customHeight="1" thickBot="1" x14ac:dyDescent="0.3">
      <c r="A45" s="193"/>
      <c r="B45" s="747"/>
      <c r="C45" s="615"/>
      <c r="D45" s="615"/>
      <c r="E45" s="615"/>
      <c r="F45" s="748"/>
      <c r="G45" s="748"/>
      <c r="H45" s="749"/>
      <c r="I45" s="750"/>
      <c r="J45" s="751" t="s">
        <v>639</v>
      </c>
      <c r="K45" s="752">
        <f>SUM(K34:K44)</f>
      </c>
    </row>
    <row r="46" spans="1:14" ht="16.899999999999999" customHeight="1" x14ac:dyDescent="0.25">
      <c r="A46" s="753" t="s">
        <v>640</v>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c>
      <c r="E60" s="1189" t="s">
        <v>121</v>
      </c>
      <c r="F60" s="872"/>
      <c r="G60" s="1190">
        <f>Formalien!$E$12</f>
      </c>
      <c r="H60" s="1190"/>
      <c r="I60" s="656" t="s">
        <v>110</v>
      </c>
      <c r="J60" s="1291">
        <f>Formalien!$E$13</f>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190">
        <f>Formalien!$E$12</f>
        <v>0</v>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inlineStr">
        <is>
          <t>Skizze – Außenanlagen und Aufwuchs</t>
        </is>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284">
        <f>Formalien!$E$13</f>
        <v>0</v>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60">
        <f>-I10</f>
        <v>0</v>
      </c>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60"/>
      <c r="F44" s="160">
        <v>0</v>
      </c>
    </row>
    <row r="45" spans="2:6" x14ac:dyDescent="0.25">
      <c r="B45" s="160">
        <v>42</v>
      </c>
      <c r="C45" s="160">
        <v>37.6</v>
      </c>
      <c r="D45" s="160">
        <v>24</v>
      </c>
      <c r="E45" s="160"/>
      <c r="F45" s="160">
        <v>0</v>
      </c>
    </row>
    <row r="46" spans="2:6" x14ac:dyDescent="0.25">
      <c r="B46" s="160">
        <v>43</v>
      </c>
      <c r="C46" s="160">
        <v>36.4</v>
      </c>
      <c r="D46" s="160">
        <v>23</v>
      </c>
      <c r="E46" s="160"/>
      <c r="F46" s="160">
        <v>0</v>
      </c>
    </row>
    <row r="47" spans="2:6" x14ac:dyDescent="0.25">
      <c r="B47" s="160">
        <v>44</v>
      </c>
      <c r="C47" s="160">
        <v>35.200000000000003</v>
      </c>
      <c r="D47" s="160">
        <v>22</v>
      </c>
      <c r="E47" s="160"/>
      <c r="F47" s="160">
        <v>0</v>
      </c>
    </row>
    <row r="48" spans="2:6" x14ac:dyDescent="0.25">
      <c r="B48" s="160">
        <v>45</v>
      </c>
      <c r="C48" s="160">
        <v>34</v>
      </c>
      <c r="D48" s="160">
        <v>21</v>
      </c>
      <c r="E48" s="160"/>
      <c r="F48" s="160">
        <v>0</v>
      </c>
    </row>
    <row r="49" spans="2:14" x14ac:dyDescent="0.25">
      <c r="B49" s="160">
        <v>46</v>
      </c>
      <c r="C49" s="160">
        <v>33</v>
      </c>
      <c r="D49" s="160">
        <v>20.399999999999999</v>
      </c>
      <c r="E49" s="160"/>
      <c r="F49" s="160">
        <v>0</v>
      </c>
    </row>
    <row r="50" spans="2:14" x14ac:dyDescent="0.25">
      <c r="B50" s="160">
        <v>47</v>
      </c>
      <c r="C50" s="160">
        <v>32</v>
      </c>
      <c r="D50" s="160">
        <v>19.8</v>
      </c>
      <c r="E50" s="160"/>
      <c r="F50" s="160">
        <v>0</v>
      </c>
    </row>
    <row r="51" spans="2:14" x14ac:dyDescent="0.25">
      <c r="B51" s="160">
        <v>48</v>
      </c>
      <c r="C51" s="160">
        <v>31</v>
      </c>
      <c r="D51" s="160">
        <v>19.2</v>
      </c>
      <c r="E51" s="160"/>
      <c r="F51" s="160">
        <v>0</v>
      </c>
    </row>
    <row r="52" spans="2:14" x14ac:dyDescent="0.25">
      <c r="B52" s="160">
        <v>49</v>
      </c>
      <c r="C52" s="160">
        <v>30</v>
      </c>
      <c r="D52" s="160">
        <v>18.600000000000001</v>
      </c>
      <c r="E52" s="160"/>
      <c r="F52" s="160">
        <v>0</v>
      </c>
      <c r="I52" s="129"/>
      <c r="J52" s="129" t="s">
        <v>347</v>
      </c>
      <c r="K52" s="168">
        <v>2</v>
      </c>
      <c r="L52" s="168">
        <v>3</v>
      </c>
      <c r="M52" s="168">
        <v>4</v>
      </c>
      <c r="N52" s="168">
        <v>5</v>
      </c>
    </row>
    <row r="53" spans="2:14" x14ac:dyDescent="0.25">
      <c r="B53" s="160">
        <v>50</v>
      </c>
      <c r="C53" s="160">
        <v>29</v>
      </c>
      <c r="D53" s="160">
        <v>18</v>
      </c>
      <c r="E53" s="160"/>
      <c r="F53" s="160">
        <v>0</v>
      </c>
      <c r="J53" s="76" t="s">
        <v>343</v>
      </c>
      <c r="K53" s="76" t="s">
        <v>44</v>
      </c>
      <c r="L53" s="76" t="s">
        <v>344</v>
      </c>
      <c r="M53" s="76" t="s">
        <v>46</v>
      </c>
      <c r="N53" s="76" t="s">
        <v>345</v>
      </c>
    </row>
    <row r="54" spans="2:14" x14ac:dyDescent="0.25">
      <c r="B54" s="160">
        <v>51</v>
      </c>
      <c r="C54" s="160">
        <v>28.2</v>
      </c>
      <c r="D54" s="160">
        <v>17.5</v>
      </c>
      <c r="E54" s="160"/>
      <c r="F54" s="160">
        <v>0</v>
      </c>
      <c r="I54" t="s">
        <v>348</v>
      </c>
      <c r="J54" s="161" t="s">
        <v>324</v>
      </c>
      <c r="K54" s="173" t="s">
        <v>168</v>
      </c>
      <c r="L54" s="174">
        <v>325</v>
      </c>
      <c r="M54" s="174"/>
      <c r="N54" s="175">
        <v>4</v>
      </c>
    </row>
    <row r="55" spans="2:14" x14ac:dyDescent="0.25">
      <c r="B55" s="160">
        <v>52</v>
      </c>
      <c r="C55" s="160">
        <v>27.4</v>
      </c>
      <c r="D55" s="160">
        <v>17</v>
      </c>
      <c r="E55" s="160"/>
      <c r="F55" s="160">
        <v>0</v>
      </c>
      <c r="J55" s="162" t="s">
        <v>322</v>
      </c>
      <c r="K55" s="169" t="s">
        <v>164</v>
      </c>
      <c r="L55" s="76">
        <v>420</v>
      </c>
      <c r="M55" s="76"/>
      <c r="N55" s="171">
        <v>3</v>
      </c>
    </row>
    <row r="56" spans="2:14" x14ac:dyDescent="0.25">
      <c r="B56" s="160">
        <v>53</v>
      </c>
      <c r="C56" s="160">
        <v>26.6</v>
      </c>
      <c r="D56" s="160">
        <v>16.5</v>
      </c>
      <c r="E56" s="160"/>
      <c r="F56" s="160">
        <v>0</v>
      </c>
      <c r="J56" s="162" t="s">
        <v>323</v>
      </c>
      <c r="K56" s="169" t="s">
        <v>165</v>
      </c>
      <c r="L56" s="76">
        <v>555</v>
      </c>
      <c r="M56" s="76"/>
      <c r="N56" s="171">
        <v>3</v>
      </c>
    </row>
    <row r="57" spans="2:14" x14ac:dyDescent="0.25">
      <c r="B57" s="160">
        <v>54</v>
      </c>
      <c r="C57" s="160">
        <v>25.8</v>
      </c>
      <c r="D57" s="160">
        <v>16</v>
      </c>
      <c r="E57" s="160"/>
      <c r="F57" s="160">
        <v>0</v>
      </c>
      <c r="J57" s="162" t="s">
        <v>220</v>
      </c>
      <c r="K57" s="169" t="s">
        <v>169</v>
      </c>
      <c r="L57" s="76">
        <v>420</v>
      </c>
      <c r="M57" s="76"/>
      <c r="N57" s="171">
        <v>4</v>
      </c>
    </row>
    <row r="58" spans="2:14" x14ac:dyDescent="0.25">
      <c r="B58" s="160">
        <v>55</v>
      </c>
      <c r="C58" s="160">
        <v>25</v>
      </c>
      <c r="D58" s="160">
        <v>15.5</v>
      </c>
      <c r="E58" s="160"/>
      <c r="F58" s="160">
        <v>0</v>
      </c>
      <c r="J58" s="162" t="s">
        <v>311</v>
      </c>
      <c r="K58" s="169" t="s">
        <v>166</v>
      </c>
      <c r="L58" s="76">
        <v>672</v>
      </c>
      <c r="M58" s="76"/>
      <c r="N58" s="171">
        <v>3</v>
      </c>
    </row>
    <row r="59" spans="2:14" x14ac:dyDescent="0.25">
      <c r="B59" s="160">
        <v>56</v>
      </c>
      <c r="C59" s="160">
        <v>24.2</v>
      </c>
      <c r="D59" s="160">
        <v>14.4</v>
      </c>
      <c r="E59" s="160"/>
      <c r="F59" s="160">
        <v>0</v>
      </c>
      <c r="J59" s="162" t="s">
        <v>306</v>
      </c>
      <c r="K59" s="169" t="s">
        <v>167</v>
      </c>
      <c r="L59" s="76">
        <v>265</v>
      </c>
      <c r="M59" s="76"/>
      <c r="N59" s="171">
        <v>4</v>
      </c>
    </row>
    <row r="60" spans="2:14" x14ac:dyDescent="0.25">
      <c r="B60" s="160">
        <v>57</v>
      </c>
      <c r="C60" s="160">
        <v>23.4</v>
      </c>
      <c r="D60" s="160">
        <v>13.3</v>
      </c>
      <c r="E60" s="160"/>
      <c r="F60" s="160">
        <v>0</v>
      </c>
      <c r="J60" s="164" t="s">
        <v>316</v>
      </c>
      <c r="K60" s="169" t="s">
        <v>164</v>
      </c>
      <c r="L60" s="76">
        <v>420</v>
      </c>
      <c r="M60" s="76"/>
      <c r="N60" s="171">
        <v>3</v>
      </c>
    </row>
    <row r="61" spans="2:14" x14ac:dyDescent="0.25">
      <c r="B61" s="160">
        <v>58</v>
      </c>
      <c r="C61" s="160">
        <v>22.6</v>
      </c>
      <c r="D61" s="160">
        <v>12.2</v>
      </c>
      <c r="E61" s="160"/>
      <c r="F61" s="160">
        <v>0</v>
      </c>
      <c r="J61" s="164" t="s">
        <v>317</v>
      </c>
      <c r="K61" s="169" t="s">
        <v>165</v>
      </c>
      <c r="L61" s="76">
        <v>555</v>
      </c>
      <c r="M61" s="76"/>
      <c r="N61" s="171">
        <v>3</v>
      </c>
    </row>
    <row r="62" spans="2:14" x14ac:dyDescent="0.25">
      <c r="B62" s="160">
        <v>59</v>
      </c>
      <c r="C62" s="160">
        <v>21.8</v>
      </c>
      <c r="D62" s="160">
        <v>11.1</v>
      </c>
      <c r="E62" s="160"/>
      <c r="F62" s="160">
        <v>0</v>
      </c>
      <c r="J62" s="164" t="s">
        <v>315</v>
      </c>
      <c r="K62" s="169" t="s">
        <v>166</v>
      </c>
      <c r="L62" s="76">
        <v>672</v>
      </c>
      <c r="M62" s="76"/>
      <c r="N62" s="171">
        <v>3</v>
      </c>
    </row>
    <row r="63" spans="2:14" x14ac:dyDescent="0.25">
      <c r="B63" s="160">
        <v>60</v>
      </c>
      <c r="C63" s="160">
        <v>21</v>
      </c>
      <c r="D63" s="160">
        <v>10</v>
      </c>
      <c r="E63" s="160"/>
      <c r="F63" s="160">
        <v>0</v>
      </c>
      <c r="J63" s="163" t="s">
        <v>325</v>
      </c>
      <c r="K63" s="169" t="s">
        <v>168</v>
      </c>
      <c r="L63" s="76">
        <v>325</v>
      </c>
      <c r="M63" s="76"/>
      <c r="N63" s="171">
        <v>4</v>
      </c>
    </row>
    <row r="64" spans="2:14" x14ac:dyDescent="0.25">
      <c r="B64" s="160">
        <v>61</v>
      </c>
      <c r="C64" s="160">
        <v>20.3</v>
      </c>
      <c r="D64" s="160"/>
      <c r="E64" s="160"/>
      <c r="F64" s="160">
        <v>0</v>
      </c>
      <c r="J64" s="163" t="s">
        <v>326</v>
      </c>
      <c r="K64" s="57" t="s">
        <v>169</v>
      </c>
      <c r="L64" s="76">
        <v>420</v>
      </c>
      <c r="M64" s="76"/>
      <c r="N64" s="171">
        <v>4</v>
      </c>
    </row>
    <row r="65" spans="2:14" x14ac:dyDescent="0.25">
      <c r="B65" s="160">
        <v>62</v>
      </c>
      <c r="C65" s="160">
        <v>19.600000000000001</v>
      </c>
      <c r="D65" s="160"/>
      <c r="E65" s="160"/>
      <c r="F65" s="160">
        <v>0</v>
      </c>
      <c r="J65" s="162" t="s">
        <v>307</v>
      </c>
      <c r="K65" s="169" t="s">
        <v>167</v>
      </c>
      <c r="L65" s="76">
        <v>265</v>
      </c>
      <c r="M65" s="76"/>
      <c r="N65" s="171">
        <v>4</v>
      </c>
    </row>
    <row r="66" spans="2:14" x14ac:dyDescent="0.25">
      <c r="B66" s="160">
        <v>63</v>
      </c>
      <c r="C66" s="160">
        <v>18.899999999999999</v>
      </c>
      <c r="D66" s="160"/>
      <c r="E66" s="160"/>
      <c r="F66" s="160">
        <v>0</v>
      </c>
      <c r="J66" s="163" t="s">
        <v>294</v>
      </c>
      <c r="K66" s="135">
        <v>0</v>
      </c>
      <c r="L66" s="76">
        <v>0</v>
      </c>
      <c r="M66" s="76"/>
      <c r="N66" s="171">
        <v>5</v>
      </c>
    </row>
    <row r="67" spans="2:14" x14ac:dyDescent="0.25">
      <c r="B67" s="160">
        <v>64</v>
      </c>
      <c r="C67" s="160">
        <v>18.2</v>
      </c>
      <c r="D67" s="160"/>
      <c r="E67" s="160"/>
      <c r="F67" s="160">
        <v>0</v>
      </c>
      <c r="J67" s="163" t="s">
        <v>40</v>
      </c>
      <c r="K67" s="170"/>
      <c r="L67" s="76"/>
      <c r="M67" s="76">
        <v>180</v>
      </c>
      <c r="N67" s="171"/>
    </row>
    <row r="68" spans="2:14" x14ac:dyDescent="0.25">
      <c r="B68" s="160">
        <v>65</v>
      </c>
      <c r="C68" s="160">
        <v>17.5</v>
      </c>
      <c r="D68" s="160"/>
      <c r="E68" s="160"/>
      <c r="F68" s="160">
        <v>0</v>
      </c>
      <c r="J68" s="163" t="s">
        <v>41</v>
      </c>
      <c r="K68" s="170"/>
      <c r="L68" s="76"/>
      <c r="M68" s="76">
        <v>180</v>
      </c>
      <c r="N68" s="171"/>
    </row>
    <row r="69" spans="2:14" x14ac:dyDescent="0.25">
      <c r="B69" s="160">
        <v>66</v>
      </c>
      <c r="C69" s="160">
        <v>17.3</v>
      </c>
      <c r="D69" s="160"/>
      <c r="E69" s="160"/>
      <c r="F69" s="160">
        <v>0</v>
      </c>
      <c r="J69" s="163" t="s">
        <v>42</v>
      </c>
      <c r="K69" s="170"/>
      <c r="L69" s="76"/>
      <c r="M69" s="76">
        <v>150</v>
      </c>
      <c r="N69" s="171"/>
    </row>
    <row r="70" spans="2:14" x14ac:dyDescent="0.25">
      <c r="B70" s="160">
        <v>67</v>
      </c>
      <c r="C70" s="160">
        <v>17.100000000000001</v>
      </c>
      <c r="D70" s="160"/>
      <c r="E70" s="160"/>
      <c r="F70" s="160">
        <v>0</v>
      </c>
      <c r="J70" s="163" t="s">
        <v>43</v>
      </c>
      <c r="K70" s="170"/>
      <c r="L70" s="76"/>
      <c r="M70" s="76">
        <v>120</v>
      </c>
      <c r="N70" s="171"/>
    </row>
    <row r="71" spans="2:14" x14ac:dyDescent="0.25">
      <c r="B71" s="160">
        <v>68</v>
      </c>
      <c r="C71" s="160">
        <v>16.899999999999999</v>
      </c>
      <c r="D71" s="160"/>
      <c r="E71" s="160"/>
      <c r="F71" s="160">
        <v>0</v>
      </c>
      <c r="J71" s="162" t="s">
        <v>320</v>
      </c>
      <c r="K71" s="169" t="s">
        <v>162</v>
      </c>
      <c r="L71" s="76">
        <v>350</v>
      </c>
      <c r="M71" s="76"/>
      <c r="N71" s="171">
        <v>3</v>
      </c>
    </row>
    <row r="72" spans="2:14" x14ac:dyDescent="0.25">
      <c r="B72" s="160">
        <v>69</v>
      </c>
      <c r="C72" s="160">
        <v>16.7</v>
      </c>
      <c r="D72" s="160"/>
      <c r="E72" s="160"/>
      <c r="F72" s="160">
        <v>0</v>
      </c>
      <c r="J72" s="162" t="s">
        <v>321</v>
      </c>
      <c r="K72" s="169" t="s">
        <v>163</v>
      </c>
      <c r="L72" s="76">
        <v>490</v>
      </c>
      <c r="M72" s="76"/>
      <c r="N72" s="171">
        <v>3</v>
      </c>
    </row>
    <row r="73" spans="2:14" x14ac:dyDescent="0.25">
      <c r="B73" s="160">
        <v>70</v>
      </c>
      <c r="C73" s="160">
        <v>16.5</v>
      </c>
      <c r="D73" s="160"/>
      <c r="E73" s="160"/>
      <c r="F73" s="160">
        <v>0</v>
      </c>
      <c r="J73" s="162" t="s">
        <v>318</v>
      </c>
      <c r="K73" s="169" t="s">
        <v>159</v>
      </c>
      <c r="L73" s="76">
        <v>515</v>
      </c>
      <c r="M73" s="76"/>
      <c r="N73" s="171">
        <v>2</v>
      </c>
    </row>
    <row r="74" spans="2:14" x14ac:dyDescent="0.25">
      <c r="B74" s="160">
        <v>71</v>
      </c>
      <c r="C74" s="160">
        <v>16.3</v>
      </c>
      <c r="D74" s="160"/>
      <c r="E74" s="160"/>
      <c r="F74" s="160">
        <v>0</v>
      </c>
      <c r="J74" s="162" t="s">
        <v>319</v>
      </c>
      <c r="K74" s="169" t="s">
        <v>160</v>
      </c>
      <c r="L74" s="76">
        <v>595</v>
      </c>
      <c r="M74" s="76"/>
      <c r="N74" s="171">
        <v>2</v>
      </c>
    </row>
    <row r="75" spans="2:14" ht="15.75" thickBot="1" x14ac:dyDescent="0.3">
      <c r="B75" s="160">
        <v>72</v>
      </c>
      <c r="C75" s="160">
        <v>16.100000000000001</v>
      </c>
      <c r="D75" s="160"/>
      <c r="E75" s="160"/>
      <c r="F75" s="160">
        <v>0</v>
      </c>
      <c r="J75" s="165" t="s">
        <v>214</v>
      </c>
      <c r="K75" s="166" t="s">
        <v>161</v>
      </c>
      <c r="L75" s="167">
        <v>704</v>
      </c>
      <c r="M75" s="167"/>
      <c r="N75" s="172">
        <v>2</v>
      </c>
    </row>
    <row r="76" spans="2:14" x14ac:dyDescent="0.25">
      <c r="B76" s="160">
        <v>73</v>
      </c>
      <c r="C76" s="160">
        <v>15.9</v>
      </c>
      <c r="D76" s="160"/>
      <c r="E76" s="160"/>
      <c r="F76" s="160">
        <v>0</v>
      </c>
      <c r="J76" s="142"/>
    </row>
    <row r="77" spans="2:14" x14ac:dyDescent="0.25">
      <c r="B77" s="160">
        <v>74</v>
      </c>
      <c r="C77" s="160">
        <v>15.7</v>
      </c>
      <c r="D77" s="160"/>
      <c r="E77" s="160"/>
      <c r="F77" s="160">
        <v>0</v>
      </c>
      <c r="J77" s="142"/>
    </row>
    <row r="78" spans="2:14" x14ac:dyDescent="0.25">
      <c r="B78" s="160">
        <v>75</v>
      </c>
      <c r="C78" s="160">
        <v>15.5</v>
      </c>
      <c r="D78" s="160"/>
      <c r="E78" s="160"/>
      <c r="F78" s="160">
        <v>0</v>
      </c>
      <c r="J78" s="142"/>
    </row>
    <row r="79" spans="2:14" x14ac:dyDescent="0.25">
      <c r="B79" s="160">
        <v>76</v>
      </c>
      <c r="C79" s="160">
        <v>14.4</v>
      </c>
      <c r="D79" s="160"/>
      <c r="E79" s="160"/>
      <c r="F79" s="160">
        <v>0</v>
      </c>
    </row>
    <row r="80" spans="2:14" x14ac:dyDescent="0.25">
      <c r="B80" s="160">
        <v>77</v>
      </c>
      <c r="C80" s="160">
        <v>13.3</v>
      </c>
      <c r="D80" s="160"/>
      <c r="E80" s="160"/>
      <c r="F80" s="160">
        <v>0</v>
      </c>
    </row>
    <row r="81" spans="1:11" x14ac:dyDescent="0.25">
      <c r="B81" s="160">
        <v>78</v>
      </c>
      <c r="C81" s="160">
        <v>12.2</v>
      </c>
      <c r="D81" s="160"/>
      <c r="E81" s="160"/>
      <c r="F81" s="160">
        <v>0</v>
      </c>
      <c r="H81" s="1285"/>
      <c r="I81" s="1285"/>
      <c r="J81" s="1285"/>
      <c r="K81" s="1285"/>
    </row>
    <row r="82" spans="1:11" x14ac:dyDescent="0.25">
      <c r="B82" s="160">
        <v>79</v>
      </c>
      <c r="C82" s="160">
        <v>11.1</v>
      </c>
      <c r="D82" s="160"/>
      <c r="E82" s="160"/>
      <c r="F82" s="160">
        <v>0</v>
      </c>
    </row>
    <row r="83" spans="1:11" x14ac:dyDescent="0.25">
      <c r="B83" s="160">
        <v>80</v>
      </c>
      <c r="C83" s="160">
        <v>10</v>
      </c>
      <c r="D83" s="160"/>
      <c r="E83" s="160"/>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t="str">
        <f>Baulichkeiten!$B$12</f>
        <v>L</v>
      </c>
      <c r="C88" s="123" t="s">
        <v>44</v>
      </c>
      <c r="D88" s="138">
        <f>VLOOKUP(D90,uwe,2)</f>
        <v>0</v>
      </c>
      <c r="E88" s="122" t="s">
        <v>47</v>
      </c>
      <c r="F88" s="122">
        <f>VLOOKUP(D90,uwe,5)</f>
        <v>5</v>
      </c>
      <c r="G88" s="122"/>
      <c r="H88" s="123" t="s">
        <v>7</v>
      </c>
      <c r="I88" s="133">
        <f>Baulichkeiten!$I$13</f>
        <v>0</v>
      </c>
      <c r="J88" s="58" t="s">
        <v>319</v>
      </c>
      <c r="K88" s="58" t="s">
        <v>160</v>
      </c>
    </row>
    <row r="89" spans="1:11" x14ac:dyDescent="0.25">
      <c r="A89" s="124"/>
      <c r="C89" s="78"/>
      <c r="I89" s="125"/>
      <c r="J89" s="58" t="s">
        <v>214</v>
      </c>
      <c r="K89" s="58" t="s">
        <v>161</v>
      </c>
    </row>
    <row r="90" spans="1:11" x14ac:dyDescent="0.25">
      <c r="A90" s="126" t="s">
        <v>156</v>
      </c>
      <c r="B90" s="177">
        <f>VLOOKUP(D90,uwe,3)</f>
        <v>0</v>
      </c>
      <c r="C90" s="128" t="s">
        <v>170</v>
      </c>
      <c r="D90" s="1287" t="str">
        <f>Baulichkeiten!$G$12</f>
        <v>fehlt</v>
      </c>
      <c r="E90" s="1287"/>
      <c r="F90" s="1287"/>
      <c r="G90" s="127"/>
      <c r="H90" s="128" t="s">
        <v>37</v>
      </c>
      <c r="I90" s="178">
        <f>VLOOKUP(I88,nelke,F88)</f>
        <v>0</v>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t="str">
        <f>Baulichkeiten!$B$21</f>
        <v>A1</v>
      </c>
      <c r="C93" s="123" t="s">
        <v>44</v>
      </c>
      <c r="D93" s="138">
        <f>VLOOKUP(D95,uwe,2)</f>
        <v>0</v>
      </c>
      <c r="E93" s="122" t="s">
        <v>47</v>
      </c>
      <c r="F93" s="122">
        <f>VLOOKUP(D95,uwe,5)</f>
        <v>5</v>
      </c>
      <c r="G93" s="1289" t="s">
        <v>7</v>
      </c>
      <c r="H93" s="1289"/>
      <c r="I93" s="133">
        <f>Baulichkeiten!$I$22</f>
        <v>0</v>
      </c>
      <c r="J93" s="58" t="s">
        <v>323</v>
      </c>
      <c r="K93" s="58" t="s">
        <v>165</v>
      </c>
    </row>
    <row r="94" spans="1:11" x14ac:dyDescent="0.25">
      <c r="A94" s="124"/>
      <c r="C94" s="78"/>
      <c r="I94" s="125"/>
      <c r="J94" s="58" t="s">
        <v>311</v>
      </c>
      <c r="K94" s="58" t="s">
        <v>166</v>
      </c>
    </row>
    <row r="95" spans="1:11" x14ac:dyDescent="0.25">
      <c r="A95" s="126" t="s">
        <v>156</v>
      </c>
      <c r="B95" s="177">
        <f>VLOOKUP(D95,uwe,3)</f>
        <v>0</v>
      </c>
      <c r="C95" s="128" t="s">
        <v>170</v>
      </c>
      <c r="D95" s="1287" t="str">
        <f>Baulichkeiten!$G$21</f>
        <v>fehlt</v>
      </c>
      <c r="E95" s="1287"/>
      <c r="F95" s="1287"/>
      <c r="G95" s="127"/>
      <c r="H95" s="128" t="s">
        <v>37</v>
      </c>
      <c r="I95" s="178">
        <f>VLOOKUP(I93,nelke,F93)</f>
        <v>0</v>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t="str">
        <f>Baulichkeiten!$B$30</f>
        <v>A2</v>
      </c>
      <c r="C98" s="123" t="s">
        <v>44</v>
      </c>
      <c r="D98" s="138">
        <f>VLOOKUP(D100,uwe,2)</f>
        <v>0</v>
      </c>
      <c r="E98" s="122" t="s">
        <v>47</v>
      </c>
      <c r="F98" s="122">
        <f>VLOOKUP(D100,uwe,5)</f>
        <v>5</v>
      </c>
      <c r="G98" s="1289" t="s">
        <v>7</v>
      </c>
      <c r="H98" s="1289"/>
      <c r="I98" s="137">
        <f>Baulichkeiten!$I$31</f>
        <v>0</v>
      </c>
      <c r="J98" s="58" t="s">
        <v>306</v>
      </c>
      <c r="K98" s="58" t="s">
        <v>167</v>
      </c>
    </row>
    <row r="99" spans="1:12" x14ac:dyDescent="0.25">
      <c r="A99" s="124"/>
      <c r="C99" s="78"/>
      <c r="J99" s="58" t="s">
        <v>324</v>
      </c>
      <c r="K99" s="58" t="s">
        <v>168</v>
      </c>
    </row>
    <row r="100" spans="1:12" x14ac:dyDescent="0.25">
      <c r="A100" s="126" t="s">
        <v>45</v>
      </c>
      <c r="B100" s="177">
        <f>VLOOKUP(D100,uwe,3)</f>
        <v>0</v>
      </c>
      <c r="C100" s="128" t="s">
        <v>171</v>
      </c>
      <c r="D100" s="1288" t="str">
        <f>Baulichkeiten!$G$30</f>
        <v>fehlt</v>
      </c>
      <c r="E100" s="1288"/>
      <c r="F100" s="1288"/>
      <c r="G100" s="127"/>
      <c r="H100" s="128" t="s">
        <v>37</v>
      </c>
      <c r="I100" s="178">
        <f>VLOOKUP(I98,nelke,F98)</f>
        <v>0</v>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t="str">
        <f>Baulichkeiten!$B$47</f>
        <v>S oder U</v>
      </c>
      <c r="C103" s="123" t="s">
        <v>44</v>
      </c>
      <c r="D103" s="138">
        <f>IF(D105=J87,K87,IF(D105=J88,K88,IF(D105=J89,K89,IF(D105=J90,K90,IF(D105=J91,K91,IF(D105=J92,K92,IF(D105=J93,K93,IF(D105=J94,K94,IF(D105=J95,K95,IF(D105=J96,K96,IF(D105=J97,K97,IF(D105=J98,K98,IF(D105=J99,K99,IF(D105=J100,K100,IF(D105=J101,K101,IF(D105=J102,K102,IF(D105=J103,K103,IF(D105=J104,K104,IF(D105=J105,L105,IF(D105=J106,L106,IF(D105=J104,K104,IF(D105=J108,L108,IF(D105=J19:J109,L109)))))))))))))))))))))))</f>
        <v>0</v>
      </c>
      <c r="E103" s="122" t="s">
        <v>47</v>
      </c>
      <c r="F103" s="122">
        <f>VLOOKUP(D105,uwe,5)</f>
        <v>5</v>
      </c>
      <c r="G103" s="1289" t="s">
        <v>7</v>
      </c>
      <c r="H103" s="1289"/>
      <c r="I103" s="137">
        <f>Baulichkeiten!$I$48</f>
        <v>0</v>
      </c>
      <c r="J103" s="59" t="s">
        <v>326</v>
      </c>
      <c r="K103" s="59" t="s">
        <v>169</v>
      </c>
    </row>
    <row r="104" spans="1:12" x14ac:dyDescent="0.25">
      <c r="A104" s="124"/>
      <c r="C104" s="78"/>
      <c r="J104" s="59" t="s">
        <v>294</v>
      </c>
      <c r="K104" s="135">
        <v>0</v>
      </c>
    </row>
    <row r="105" spans="1:12" x14ac:dyDescent="0.25">
      <c r="A105" s="126" t="s">
        <v>45</v>
      </c>
      <c r="B105" s="177">
        <f>VLOOKUP(D105,uwe,3)</f>
        <v>0</v>
      </c>
      <c r="C105" s="128" t="s">
        <v>171</v>
      </c>
      <c r="D105" s="1287" t="str">
        <f>Baulichkeiten!$G$47</f>
        <v>fehlt</v>
      </c>
      <c r="E105" s="1287"/>
      <c r="F105" s="1287"/>
      <c r="G105" s="127"/>
      <c r="H105" s="128" t="s">
        <v>37</v>
      </c>
      <c r="I105" s="176">
        <f>VLOOKUP(I103,nelke,F103)</f>
        <v>0</v>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t="e">
        <f>#REF!</f>
        <v>#REF!</v>
      </c>
      <c r="E112" t="s">
        <v>47</v>
      </c>
      <c r="F112" s="117">
        <v>6</v>
      </c>
      <c r="H112" s="119" t="s">
        <v>349</v>
      </c>
    </row>
    <row r="113" spans="1:8" x14ac:dyDescent="0.25">
      <c r="A113" s="141"/>
      <c r="F113" s="117"/>
    </row>
    <row r="114" spans="1:8" x14ac:dyDescent="0.25">
      <c r="A114" s="141"/>
      <c r="C114" t="s">
        <v>46</v>
      </c>
      <c r="D114" s="186" t="e">
        <f>VLOOKUP(D112,uwe,4)</f>
        <v>#REF!</v>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t="e">
        <f>#REF!</f>
        <v>#REF!</v>
      </c>
      <c r="E117" t="s">
        <v>47</v>
      </c>
      <c r="F117" s="117">
        <v>6</v>
      </c>
    </row>
    <row r="118" spans="1:8" x14ac:dyDescent="0.25">
      <c r="A118" s="141"/>
      <c r="F118" s="117"/>
      <c r="H118" s="118" t="s">
        <v>337</v>
      </c>
    </row>
    <row r="119" spans="1:8" x14ac:dyDescent="0.25">
      <c r="A119" s="141"/>
      <c r="C119" t="s">
        <v>46</v>
      </c>
      <c r="D119" s="186" t="e">
        <f>VLOOKUP(D117,uwe,4)</f>
        <v>#REF!</v>
      </c>
      <c r="F119" s="117"/>
    </row>
    <row r="120" spans="1:8" x14ac:dyDescent="0.25">
      <c r="A120" s="141"/>
      <c r="F120" s="117"/>
    </row>
    <row r="121" spans="1:8" x14ac:dyDescent="0.25">
      <c r="A121" s="141"/>
      <c r="F121" s="117"/>
    </row>
    <row r="122" spans="1:8" x14ac:dyDescent="0.25">
      <c r="A122" s="141" t="s">
        <v>10</v>
      </c>
      <c r="B122" s="142" t="s">
        <v>335</v>
      </c>
      <c r="C122" t="s">
        <v>44</v>
      </c>
      <c r="D122" s="147" t="e">
        <f>#REF!</f>
        <v>#REF!</v>
      </c>
      <c r="E122" t="s">
        <v>47</v>
      </c>
      <c r="F122" s="117">
        <v>6</v>
      </c>
    </row>
    <row r="123" spans="1:8" x14ac:dyDescent="0.25">
      <c r="A123" s="141"/>
      <c r="F123" s="117"/>
    </row>
    <row r="124" spans="1:8" ht="15.75" thickBot="1" x14ac:dyDescent="0.3">
      <c r="A124" s="144"/>
      <c r="B124" s="80"/>
      <c r="C124" s="80" t="s">
        <v>46</v>
      </c>
      <c r="D124" s="187" t="e">
        <f>VLOOKUP(D122,uwe,4)</f>
        <v>#REF!</v>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