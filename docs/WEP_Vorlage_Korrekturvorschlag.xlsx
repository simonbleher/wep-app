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nelke">Tabelle1!$B$3:$F$83</definedName>
    <definedName name="typen">Baulichkeiten!$N$45:$N$66</definedName>
    <definedName name="uwe">Tabelle1!$J$54:$N$75</definedName>
    <definedName name="_xlnm.Print_Area" localSheetId="0">Formalien!$A$1:$F$24</definedName>
    <definedName name="_xlnm.Print_Area" localSheetId="6">'Aufwuchs II'!$A$1:$L$48</definedName>
  </definedNames>
  <calcPr calcId="191029" fullCalcOnLoad="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Prüfskript Vorlagenfehler</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I13" authorId="2" shapeId="0">
      <text>
        <r>
          <rPr>
            <b/>
            <sz val="9"/>
            <color indexed="81"/>
            <rFont val="Segoe UI"/>
            <family val="2"/>
          </rPr>
          <t xml:space="preserve">F35:</t>
        </r>
        <r>
          <rPr>
            <sz val="9"/>
            <color indexed="81"/>
            <rFont val="Segoe UI"/>
            <family val="2"/>
          </rPr>
          <t xml:space="preserve"> Eingabeprüfung: ganze Zahl 0 bis 80 (längste Restnutzungstabelle der Richtlinie).</t>
        </r>
      </text>
    </comment>
    <comment ref="E14" authorId="2" shapeId="0">
      <text>
        <r>
          <rPr>
            <b/>
            <sz val="9"/>
            <color indexed="81"/>
            <rFont val="Segoe UI"/>
            <family val="2"/>
          </rPr>
          <t xml:space="preserve">F15:</t>
        </r>
        <r>
          <rPr>
            <sz val="9"/>
            <color indexed="81"/>
            <rFont val="Segoe UI"/>
            <family val="2"/>
          </rPr>
          <t xml:space="preserve"> Eingabeprüfung: Mängelabzug in Prozent, 0 bis 100 (0,1 bedeutet 0,1 %, nicht 10 %).</t>
        </r>
      </text>
    </comment>
    <comment ref="E16" authorId="2" shapeId="0">
      <text>
        <r>
          <rPr>
            <b/>
            <sz val="9"/>
            <color indexed="81"/>
            <rFont val="Segoe UI"/>
            <family val="2"/>
          </rPr>
          <t xml:space="preserve">F40:</t>
        </r>
        <r>
          <rPr>
            <sz val="9"/>
            <color indexed="81"/>
            <rFont val="Segoe UI"/>
            <family val="2"/>
          </rPr>
          <t xml:space="preserve"> war =H7/100 ohne $ (der Bezug verschiebt sich beim Kopieren). E25, E43, E51 ebenso geändert.</t>
        </r>
      </text>
    </comment>
    <comment ref="B19" authorId="2" shapeId="0">
      <text>
        <r>
          <rPr>
            <b/>
            <sz val="9"/>
            <color indexed="81"/>
            <rFont val="Segoe UI"/>
            <family val="2"/>
          </rPr>
          <t xml:space="preserve">F40:</t>
        </r>
        <r>
          <rPr>
            <sz val="9"/>
            <color indexed="81"/>
            <rFont val="Segoe UI"/>
            <family val="2"/>
          </rPr>
          <t xml:space="preserve"> war ein fest getippter Text; jetzt Verweis auf B12.</t>
        </r>
      </text>
    </comment>
    <comment ref="I19" authorId="2" shapeId="0">
      <text>
        <r>
          <rPr>
            <b/>
            <sz val="9"/>
            <color indexed="81"/>
            <rFont val="Segoe UI"/>
            <family val="2"/>
          </rPr>
          <t xml:space="preserve">F12:</t>
        </r>
        <r>
          <rPr>
            <sz val="9"/>
            <color indexed="81"/>
            <rFont val="Segoe UI"/>
            <family val="2"/>
          </rPr>
          <t xml:space="preserve"> war der Beispielwert 1; leere Vorlage soll keine Abzüge enthalten.</t>
        </r>
        <r>
          <rPr>
            <b/>
            <sz val="9"/>
            <color indexed="81"/>
            <rFont val="Segoe UI"/>
            <family val="2"/>
          </rPr>
          <t xml:space="preserve">
F33:</t>
        </r>
        <r>
          <rPr>
            <sz val="9"/>
            <color indexed="81"/>
            <rFont val="Segoe UI"/>
            <family val="2"/>
          </rPr>
          <t xml:space="preserve"> Eingabefeld „nicht berechnete Baufläche“ (I19, I28, I37) war gesperrt – bei aktivem Blattschutz nicht bedienbar.</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I22" authorId="2" shapeId="0">
      <text>
        <r>
          <rPr>
            <b/>
            <sz val="9"/>
            <color indexed="81"/>
            <rFont val="Segoe UI"/>
            <family val="2"/>
          </rPr>
          <t xml:space="preserve">F35:</t>
        </r>
        <r>
          <rPr>
            <sz val="9"/>
            <color indexed="81"/>
            <rFont val="Segoe UI"/>
            <family val="2"/>
          </rPr>
          <t xml:space="preserve"> Eingabeprüfung: ganze Zahl 0 bis 80 (längste Restnutzungstabelle der Richtlinie).</t>
        </r>
      </text>
    </comment>
    <comment ref="E23" authorId="2" shapeId="0">
      <text>
        <r>
          <rPr>
            <b/>
            <sz val="9"/>
            <color indexed="81"/>
            <rFont val="Segoe UI"/>
            <family val="2"/>
          </rPr>
          <t xml:space="preserve">F15:</t>
        </r>
        <r>
          <rPr>
            <sz val="9"/>
            <color indexed="81"/>
            <rFont val="Segoe UI"/>
            <family val="2"/>
          </rPr>
          <t xml:space="preserve"> Eingabeprüfung: Mängelabzug in Prozent, 0 bis 100 (0,1 bedeutet 0,1 %, nicht 10 %).</t>
        </r>
      </text>
    </comment>
    <comment ref="B28" authorId="2" shapeId="0">
      <text>
        <r>
          <rPr>
            <b/>
            <sz val="9"/>
            <color indexed="81"/>
            <rFont val="Segoe UI"/>
            <family val="2"/>
          </rPr>
          <t xml:space="preserve">F40:</t>
        </r>
        <r>
          <rPr>
            <sz val="9"/>
            <color indexed="81"/>
            <rFont val="Segoe UI"/>
            <family val="2"/>
          </rPr>
          <t xml:space="preserve"> war ein fest getippter Text; jetzt Verweis auf B21.</t>
        </r>
      </text>
    </comment>
    <comment ref="I28" authorId="2" shapeId="0">
      <text>
        <r>
          <rPr>
            <b/>
            <sz val="9"/>
            <color indexed="81"/>
            <rFont val="Segoe UI"/>
            <family val="2"/>
          </rPr>
          <t xml:space="preserve">F12:</t>
        </r>
        <r>
          <rPr>
            <sz val="9"/>
            <color indexed="81"/>
            <rFont val="Segoe UI"/>
            <family val="2"/>
          </rPr>
          <t xml:space="preserve"> war der Beispielwert 2; leere Vorlage soll keine Abzüge enthalten.</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I31" authorId="2" shapeId="0">
      <text>
        <r>
          <rPr>
            <b/>
            <sz val="9"/>
            <color indexed="81"/>
            <rFont val="Segoe UI"/>
            <family val="2"/>
          </rPr>
          <t xml:space="preserve">F35:</t>
        </r>
        <r>
          <rPr>
            <sz val="9"/>
            <color indexed="81"/>
            <rFont val="Segoe UI"/>
            <family val="2"/>
          </rPr>
          <t xml:space="preserve"> Eingabeprüfung: ganze Zahl 0 bis 80 (längste Restnutzungstabelle der Richtlinie).</t>
        </r>
      </text>
    </comment>
    <comment ref="E32" authorId="2" shapeId="0">
      <text>
        <r>
          <rPr>
            <b/>
            <sz val="9"/>
            <color indexed="81"/>
            <rFont val="Segoe UI"/>
            <family val="2"/>
          </rPr>
          <t xml:space="preserve">F15:</t>
        </r>
        <r>
          <rPr>
            <sz val="9"/>
            <color indexed="81"/>
            <rFont val="Segoe UI"/>
            <family val="2"/>
          </rPr>
          <t xml:space="preserve"> Eingabeprüfung: Mängelabzug in Prozent, 0 bis 100 (0,1 bedeutet 0,1 %, nicht 10 %).</t>
        </r>
      </text>
    </comment>
    <comment ref="C33" authorId="2" shapeId="0">
      <text>
        <r>
          <rPr>
            <b/>
            <sz val="9"/>
            <color indexed="81"/>
            <rFont val="Segoe UI"/>
            <family val="2"/>
          </rPr>
          <t xml:space="preserve">F01:</t>
        </r>
        <r>
          <rPr>
            <sz val="9"/>
            <color indexed="81"/>
            <rFont val="Segoe UI"/>
            <family val="2"/>
          </rPr>
          <t xml:space="preserve"> war =$H$23 (Wert von Anbau A1). Anbau A2 rechnet jetzt mit seinem eigenen Wert nach Mängelabzug (H32).</t>
        </r>
      </text>
    </comment>
    <comment ref="E34" authorId="2" shapeId="0">
      <text>
        <r>
          <rPr>
            <b/>
            <sz val="9"/>
            <color indexed="81"/>
            <rFont val="Segoe UI"/>
            <family val="2"/>
          </rPr>
          <t xml:space="preserve">F40:</t>
        </r>
        <r>
          <rPr>
            <sz val="9"/>
            <color indexed="81"/>
            <rFont val="Segoe UI"/>
            <family val="2"/>
          </rPr>
          <t xml:space="preserve"> war =$E$16 (Index über die Laube); jetzt wie bei den anderen Bauteilen aus H7.</t>
        </r>
      </text>
    </comment>
    <comment ref="J35" authorId="2" shapeId="0">
      <text>
        <r>
          <rPr>
            <b/>
            <sz val="9"/>
            <color indexed="81"/>
            <rFont val="Segoe UI"/>
            <family val="2"/>
          </rPr>
          <t xml:space="preserve">F34:</t>
        </r>
        <r>
          <rPr>
            <sz val="9"/>
            <color indexed="81"/>
            <rFont val="Segoe UI"/>
            <family val="2"/>
          </rPr>
          <t xml:space="preserve"> Formelzellen J35, J44, F101 waren nicht gesperrt.</t>
        </r>
      </text>
    </comment>
    <comment ref="B37" authorId="2" shapeId="0">
      <text>
        <r>
          <rPr>
            <b/>
            <sz val="9"/>
            <color indexed="81"/>
            <rFont val="Segoe UI"/>
            <family val="2"/>
          </rPr>
          <t xml:space="preserve">F40:</t>
        </r>
        <r>
          <rPr>
            <sz val="9"/>
            <color indexed="81"/>
            <rFont val="Segoe UI"/>
            <family val="2"/>
          </rPr>
          <t xml:space="preserve"> war ein fest getippter Text; jetzt Verweis auf B30.</t>
        </r>
      </text>
    </comment>
    <comment ref="I37" authorId="2" shapeId="0">
      <text>
        <r>
          <rPr>
            <b/>
            <sz val="9"/>
            <color indexed="81"/>
            <rFont val="Segoe UI"/>
            <family val="2"/>
          </rPr>
          <t xml:space="preserve">F12:</t>
        </r>
        <r>
          <rPr>
            <sz val="9"/>
            <color indexed="81"/>
            <rFont val="Segoe UI"/>
            <family val="2"/>
          </rPr>
          <t xml:space="preserve"> war der Beispielwert 3; leere Vorlage soll keine Abzüge enthalten.</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H42" authorId="2" shapeId="0">
      <text>
        <r>
          <rPr>
            <b/>
            <sz val="9"/>
            <color indexed="81"/>
            <rFont val="Segoe UI"/>
            <family val="2"/>
          </rPr>
          <t xml:space="preserve">F40:</t>
        </r>
        <r>
          <rPr>
            <sz val="9"/>
            <color indexed="81"/>
            <rFont val="Segoe UI"/>
            <family val="2"/>
          </rPr>
          <t xml:space="preserve"> war die Zahl 5 ohne Funktion (stand auf dem Ausdruck neben „% Altersabzug“).</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I48" authorId="2" shapeId="0">
      <text>
        <r>
          <rPr>
            <b/>
            <sz val="9"/>
            <color indexed="81"/>
            <rFont val="Segoe UI"/>
            <family val="2"/>
          </rPr>
          <t xml:space="preserve">F35:</t>
        </r>
        <r>
          <rPr>
            <sz val="9"/>
            <color indexed="81"/>
            <rFont val="Segoe UI"/>
            <family val="2"/>
          </rPr>
          <t xml:space="preserve"> Eingabeprüfung: ganze Zahl 0 bis 80 (längste Restnutzungstabelle der Richtlinie).</t>
        </r>
      </text>
    </comment>
    <comment ref="E49" authorId="2" shapeId="0">
      <text>
        <r>
          <rPr>
            <b/>
            <sz val="9"/>
            <color indexed="81"/>
            <rFont val="Segoe UI"/>
            <family val="2"/>
          </rPr>
          <t xml:space="preserve">F15:</t>
        </r>
        <r>
          <rPr>
            <sz val="9"/>
            <color indexed="81"/>
            <rFont val="Segoe UI"/>
            <family val="2"/>
          </rPr>
          <t xml:space="preserve"> Eingabeprüfung: Mängelabzug in Prozent, 0 bis 100 (0,1 bedeutet 0,1 %, nicht 10 %).</t>
        </r>
      </text>
    </comment>
    <comment ref="J52" authorId="2" shapeId="0">
      <text>
        <r>
          <rPr>
            <b/>
            <sz val="9"/>
            <color indexed="81"/>
            <rFont val="Segoe UI"/>
            <family val="2"/>
          </rPr>
          <t xml:space="preserve">F40:</t>
        </r>
        <r>
          <rPr>
            <sz val="9"/>
            <color indexed="81"/>
            <rFont val="Segoe UI"/>
            <family val="2"/>
          </rPr>
          <t xml:space="preserve"> war =$B$21 – neben dem Schuppenwert stand das Kürzel „A1“ statt „S oder U“.</t>
        </r>
      </text>
    </comment>
    <comment ref="K54" authorId="2" shapeId="0">
      <text>
        <r>
          <rPr>
            <b/>
            <sz val="9"/>
            <color indexed="81"/>
            <rFont val="Segoe UI"/>
            <family val="2"/>
          </rPr>
          <t xml:space="preserve">F38:</t>
        </r>
        <r>
          <rPr>
            <sz val="9"/>
            <color indexed="81"/>
            <rFont val="Segoe UI"/>
            <family val="2"/>
          </rPr>
          <t xml:space="preserve"> Skalierung von 86 % auf 82 %, damit Seite 1 (Zeilen 1–54) auf eine Druckseite passt und „Seite 2“ nicht auf einer leeren Seite landet. Bitte in der Excel-Seitenansicht prüfen.</t>
        </r>
      </text>
    </comment>
    <comment ref="L62" authorId="2" shapeId="0">
      <text>
        <r>
          <rPr>
            <b/>
            <sz val="9"/>
            <color indexed="81"/>
            <rFont val="Segoe UI"/>
            <family val="2"/>
          </rPr>
          <t xml:space="preserve">F45:</t>
        </r>
        <r>
          <rPr>
            <sz val="9"/>
            <color indexed="81"/>
            <rFont val="Segoe UI"/>
            <family val="2"/>
          </rPr>
          <t xml:space="preserve"> nannte E58 und B62; die Felder sind E63 und B67. „Anfalll“ korrigiert.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r>
          <rPr>
            <b/>
            <sz val="9"/>
            <color indexed="81"/>
            <rFont val="Segoe UI"/>
            <family val="2"/>
          </rPr>
          <t xml:space="preserve">
F14:</t>
        </r>
        <r>
          <rPr>
            <sz val="9"/>
            <color indexed="81"/>
            <rFont val="Segoe UI"/>
            <family val="2"/>
          </rPr>
          <t xml:space="preserve"> Auswahlliste „0,275,225,175“ ersetzt durch Zahl zwischen 0 und 275 (Richtlinie S. 11: verlängertes Dach bis 275 €). Bitte BV bestätigen.</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C64" authorId="2" shapeId="0">
      <text>
        <r>
          <rPr>
            <b/>
            <sz val="9"/>
            <color indexed="81"/>
            <rFont val="Segoe UI"/>
            <family val="2"/>
          </rPr>
          <t xml:space="preserve">F03:</t>
        </r>
        <r>
          <rPr>
            <sz val="9"/>
            <color indexed="81"/>
            <rFont val="Segoe UI"/>
            <family val="2"/>
          </rPr>
          <t xml:space="preserve"> war leer. Verbindet „NHK nach Mängelabzug“ (I63) mit dem Altersabzug (I64); vorher wurde der integrierte Laubenvorplatz mit 0 € bewertet.</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G68" authorId="2" shapeId="0">
      <text>
        <r>
          <rPr>
            <b/>
            <sz val="9"/>
            <color indexed="81"/>
            <rFont val="Segoe UI"/>
            <family val="2"/>
          </rPr>
          <t xml:space="preserve">F05:</t>
        </r>
        <r>
          <rPr>
            <sz val="9"/>
            <color indexed="81"/>
            <rFont val="Segoe UI"/>
            <family val="2"/>
          </rPr>
          <t xml:space="preserve"> war die feste Zahl 100. Jetzt Altersabzug = „Altersminderung pro Jahr“ (E66) × „Alter“ (H66), höchstens 100 % – wie beim Gewächshaus (E42). Bitte BV bestätigen.</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C75" authorId="2" shapeId="0">
      <text>
        <r>
          <rPr>
            <b/>
            <sz val="9"/>
            <color indexed="81"/>
            <rFont val="Segoe UI"/>
            <family val="2"/>
          </rPr>
          <t xml:space="preserve">F06/F29:</t>
        </r>
        <r>
          <rPr>
            <sz val="9"/>
            <color indexed="81"/>
            <rFont val="Segoe UI"/>
            <family val="2"/>
          </rPr>
          <t xml:space="preserve"> war =C74*3 (linear, ohne Obergrenze – ab 34 Jahren negativer Wert). Vorschlag nach der Rechnung der App (3 % jährlich vom Restwert, PR #95). Alternative linear: =MIN(100,C74*3). Bitte BV entscheiden (F29). Die 16-Jahre-Regel für Tanks ist weiter nicht umgesetzt (F23).</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r>
          <rPr>
            <b/>
            <sz val="9"/>
            <color indexed="81"/>
            <rFont val="Segoe UI"/>
            <family val="2"/>
          </rPr>
          <t xml:space="preserve">
F13:</t>
        </r>
        <r>
          <rPr>
            <sz val="9"/>
            <color indexed="81"/>
            <rFont val="Segoe UI"/>
            <family val="2"/>
          </rPr>
          <t xml:space="preserve"> Auswahlliste „-100“ ersetzt durch Zahl zwischen −150 und 0 (Richtlinie S. 14: Senkung um 150 €).</t>
        </r>
      </text>
    </comment>
    <comment ref="E79" authorId="2" shapeId="0">
      <text>
        <r>
          <rPr>
            <b/>
            <sz val="9"/>
            <color indexed="81"/>
            <rFont val="Segoe UI"/>
            <family val="2"/>
          </rPr>
          <t xml:space="preserve">F08:</t>
        </r>
        <r>
          <rPr>
            <sz val="9"/>
            <color indexed="81"/>
            <rFont val="Segoe UI"/>
            <family val="2"/>
          </rPr>
          <t xml:space="preserve"> war =IF(G78&gt;0,MIN(2200,C79),0) – ein Anschluss mit Alter 0 wurde mit 0 € bewertet. Bitte BV bestätigen.</t>
        </r>
      </text>
    </comment>
    <comment ref="H79" authorId="2" shapeId="0">
      <text>
        <r>
          <rPr>
            <b/>
            <sz val="9"/>
            <color indexed="81"/>
            <rFont val="Segoe UI"/>
            <family val="2"/>
          </rPr>
          <t xml:space="preserve">F07/F29:</t>
        </r>
        <r>
          <rPr>
            <sz val="9"/>
            <color indexed="81"/>
            <rFont val="Segoe UI"/>
            <family val="2"/>
          </rPr>
          <t xml:space="preserve"> war =G78/100*3 (linear, ohne Obergrenze). Vorschlag wie C75; Alternative linear: =MIN(1,G78*3%). Bitte BV entscheiden (F29).</t>
        </r>
      </text>
    </comment>
    <comment ref="K79" authorId="2" shapeId="0">
      <text>
        <r>
          <rPr>
            <b/>
            <sz val="9"/>
            <color indexed="81"/>
            <rFont val="Segoe UI"/>
            <family val="2"/>
          </rPr>
          <t xml:space="preserve">F08:</t>
        </r>
        <r>
          <rPr>
            <sz val="9"/>
            <color indexed="81"/>
            <rFont val="Segoe UI"/>
            <family val="2"/>
          </rPr>
          <t xml:space="preserve"> war =IF(C79&gt;74,…,0) – Kosten bis 74 € ergaben immer 0 €; woher die 74 stammen, ist unklar. Bitte BV bestätigen.</t>
        </r>
      </text>
    </comment>
    <comment ref="N79" authorId="2" shapeId="0">
      <text>
        <r>
          <rPr>
            <b/>
            <sz val="9"/>
            <color indexed="81"/>
            <rFont val="Segoe UI"/>
            <family val="2"/>
          </rPr>
          <t xml:space="preserve">F40:</t>
        </r>
        <r>
          <rPr>
            <sz val="9"/>
            <color indexed="81"/>
            <rFont val="Segoe UI"/>
            <family val="2"/>
          </rPr>
          <t xml:space="preserve"> Rest („Summe K56:K74“) mit anderer Formel in N80; gelöscht.</t>
        </r>
      </text>
    </comment>
    <comment ref="N80" authorId="2" shapeId="0">
      <text>
        <r>
          <rPr>
            <b/>
            <sz val="9"/>
            <color indexed="81"/>
            <rFont val="Segoe UI"/>
            <family val="2"/>
          </rPr>
          <t xml:space="preserve">F40:</t>
        </r>
        <r>
          <rPr>
            <sz val="9"/>
            <color indexed="81"/>
            <rFont val="Segoe UI"/>
            <family val="2"/>
          </rPr>
          <t xml:space="preserve"> Rest-Summe, nirgends verwendet; gelöscht.</t>
        </r>
      </text>
    </comment>
    <comment ref="K81" authorId="2" shapeId="0">
      <text>
        <r>
          <rPr>
            <b/>
            <sz val="9"/>
            <color indexed="81"/>
            <rFont val="Segoe UI"/>
            <family val="2"/>
          </rPr>
          <t xml:space="preserve">F02:</t>
        </r>
        <r>
          <rPr>
            <sz val="9"/>
            <color indexed="81"/>
            <rFont val="Segoe UI"/>
            <family val="2"/>
          </rPr>
          <t xml:space="preserve"> war =K52+K61+K71+K75+K77+K79. Der Schuppen (K52) steckt schon im Übertrag K61 und wurde doppelt gezählt.</t>
        </r>
      </text>
    </comment>
    <comment ref="F101" authorId="2" shapeId="0">
      <text>
        <r>
          <rPr>
            <b/>
            <sz val="9"/>
            <color indexed="81"/>
            <rFont val="Segoe UI"/>
            <family val="2"/>
          </rPr>
          <t xml:space="preserve">F24:</t>
        </r>
        <r>
          <rPr>
            <sz val="9"/>
            <color indexed="81"/>
            <rFont val="Segoe UI"/>
            <family val="2"/>
          </rPr>
          <t xml:space="preserve"> war =A17+A26+A35+A52. Der überdachte Laubenvorplatz (F71) zählt zu den 24 m² (Richtlinie S. 11 d).</t>
        </r>
      </text>
    </comment>
    <comment ref="F104" authorId="2" shapeId="0">
      <text>
        <r>
          <rPr>
            <b/>
            <sz val="9"/>
            <color indexed="81"/>
            <rFont val="Segoe UI"/>
            <family val="2"/>
          </rPr>
          <t xml:space="preserve">F12:</t>
        </r>
        <r>
          <rPr>
            <sz val="9"/>
            <color indexed="81"/>
            <rFont val="Segoe UI"/>
            <family val="2"/>
          </rPr>
          <t xml:space="preserve"> war der Beispielwert 5; leere Vorlage soll keine Abzüge enthalten.</t>
        </r>
      </text>
    </comment>
    <comment ref="G104" authorId="2" shapeId="0">
      <text>
        <r>
          <rPr>
            <b/>
            <sz val="9"/>
            <color indexed="81"/>
            <rFont val="Segoe UI"/>
            <family val="2"/>
          </rPr>
          <t xml:space="preserve">F12:</t>
        </r>
        <r>
          <rPr>
            <sz val="9"/>
            <color indexed="81"/>
            <rFont val="Segoe UI"/>
            <family val="2"/>
          </rPr>
          <t xml:space="preserve"> war der Beispielwert 50; leere Vorlage soll keine Abzüge enthalten.</t>
        </r>
      </text>
    </comment>
    <comment ref="H105" authorId="2" shapeId="0">
      <text>
        <r>
          <rPr>
            <b/>
            <sz val="9"/>
            <color indexed="81"/>
            <rFont val="Segoe UI"/>
            <family val="2"/>
          </rPr>
          <t xml:space="preserve">F30:</t>
        </r>
        <r>
          <rPr>
            <sz val="9"/>
            <color indexed="81"/>
            <rFont val="Segoe UI"/>
            <family val="2"/>
          </rPr>
          <t xml:space="preserve"> war die feste Zahl 150, nirgends verrechnet. Zeigt jetzt den Abzug aus K77. Ob zusätzlich die 150 € Abfuhrkosten in den Beseitigungskosten gelten, muss der BV entscheiden.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Prüfskript Vorlagenfehler</author>
  </authors>
  <commentList>
    <comment ref="E1" authorId="1" shapeId="0">
      <text>
        <r>
          <rPr>
            <b/>
            <sz val="9"/>
            <color indexed="81"/>
            <rFont val="Segoe UI"/>
            <family val="2"/>
          </rPr>
          <t xml:space="preserve">F34:</t>
        </r>
        <r>
          <rPr>
            <sz val="9"/>
            <color indexed="81"/>
            <rFont val="Segoe UI"/>
            <family val="2"/>
          </rPr>
          <t xml:space="preserve"> E1 und E2 (Formeln) waren nicht gesperrt.</t>
        </r>
      </text>
    </comment>
    <comment ref="F5" authorId="1" shapeId="0">
      <text>
        <r>
          <rPr>
            <b/>
            <sz val="9"/>
            <color indexed="81"/>
            <rFont val="Segoe UI"/>
            <family val="2"/>
          </rPr>
          <t xml:space="preserve">F37:</t>
        </r>
        <r>
          <rPr>
            <sz val="9"/>
            <color indexed="81"/>
            <rFont val="Segoe UI"/>
            <family val="2"/>
          </rPr>
          <t xml:space="preserve"> Zahlenformat „0“ zeigte 5 % (=0,05) als „0“; jetzt „0 %“.</t>
        </r>
      </text>
    </comment>
    <comment ref="D6" authorId="1" shapeId="0">
      <text>
        <r>
          <rPr>
            <b/>
            <sz val="9"/>
            <color indexed="81"/>
            <rFont val="Segoe UI"/>
            <family val="2"/>
          </rPr>
          <t xml:space="preserve">F42:</t>
        </r>
        <r>
          <rPr>
            <sz val="9"/>
            <color indexed="81"/>
            <rFont val="Segoe UI"/>
            <family val="2"/>
          </rPr>
          <t xml:space="preserve"> „horizentral“ korrigiert.</t>
        </r>
      </text>
    </comment>
    <comment ref="D10" authorId="1" shapeId="0">
      <text>
        <r>
          <rPr>
            <b/>
            <sz val="9"/>
            <color indexed="81"/>
            <rFont val="Segoe UI"/>
            <family val="2"/>
          </rPr>
          <t xml:space="preserve">F18:</t>
        </r>
        <r>
          <rPr>
            <sz val="9"/>
            <color indexed="81"/>
            <rFont val="Segoe UI"/>
            <family val="2"/>
          </rPr>
          <t xml:space="preserve"> „Feuchtigkeit in der Dachkonstruktion“ stand zweimal (C12 und D10); hier ersetzt durch „Schornstein fehlerhaft“ (fehlte). Es fehlen weiter „Schornstein ohne Kehrbescheinigung“, „Moose und Flechten“ (Dach), „Risse“ (Decken), „Belag verschlissen“ (Fußboden), „Fliesen fehlerhaft“ (Ausbau innen) – dafür fehlt Platz im Blatt, bitte BV entscheiden.</t>
        </r>
      </text>
    </commen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C19" authorId="1" shapeId="0">
      <text>
        <r>
          <rPr>
            <b/>
            <sz val="9"/>
            <color indexed="81"/>
            <rFont val="Segoe UI"/>
            <family val="2"/>
          </rPr>
          <t xml:space="preserve">F42:</t>
        </r>
        <r>
          <rPr>
            <sz val="9"/>
            <color indexed="81"/>
            <rFont val="Segoe UI"/>
            <family val="2"/>
          </rPr>
          <t xml:space="preserve"> „lotgerecht“ korrigiert (Richtlinie: „lotrecht“).</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6" authorId="1" shapeId="0">
      <text>
        <r>
          <rPr>
            <b/>
            <sz val="9"/>
            <color indexed="81"/>
            <rFont val="Segoe UI"/>
            <family val="2"/>
          </rPr>
          <t xml:space="preserve">F42:</t>
        </r>
        <r>
          <rPr>
            <sz val="9"/>
            <color indexed="81"/>
            <rFont val="Segoe UI"/>
            <family val="2"/>
          </rPr>
          <t xml:space="preserve"> „maßgrecht“ korrigiert.</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 ref="C34" authorId="1" shapeId="0">
      <text>
        <r>
          <rPr>
            <b/>
            <sz val="9"/>
            <color indexed="81"/>
            <rFont val="Segoe UI"/>
            <family val="2"/>
          </rPr>
          <t xml:space="preserve">F42:</t>
        </r>
        <r>
          <rPr>
            <sz val="9"/>
            <color indexed="81"/>
            <rFont val="Segoe UI"/>
            <family val="2"/>
          </rPr>
          <t xml:space="preserve"> „Gladichtung“ korrigiert.</t>
        </r>
      </text>
    </comment>
    <comment ref="C36" authorId="1" shapeId="0">
      <text>
        <r>
          <rPr>
            <b/>
            <sz val="9"/>
            <color indexed="81"/>
            <rFont val="Segoe UI"/>
            <family val="2"/>
          </rPr>
          <t xml:space="preserve">F42:</t>
        </r>
        <r>
          <rPr>
            <sz val="9"/>
            <color indexed="81"/>
            <rFont val="Segoe UI"/>
            <family val="2"/>
          </rPr>
          <t xml:space="preserve"> „nich“ korrigiert.</t>
        </r>
      </text>
    </comment>
    <comment ref="C38" authorId="1" shapeId="0">
      <text>
        <r>
          <rPr>
            <b/>
            <sz val="9"/>
            <color indexed="81"/>
            <rFont val="Segoe UI"/>
            <family val="2"/>
          </rPr>
          <t xml:space="preserve">F42:</t>
        </r>
        <r>
          <rPr>
            <sz val="9"/>
            <color indexed="81"/>
            <rFont val="Segoe UI"/>
            <family val="2"/>
          </rPr>
          <t xml:space="preserve"> „unddicht“ korrigiert.</t>
        </r>
      </text>
    </comment>
    <comment ref="F44" authorId="1" shapeId="0">
      <text>
        <r>
          <rPr>
            <b/>
            <sz val="9"/>
            <color indexed="81"/>
            <rFont val="Segoe UI"/>
            <family val="2"/>
          </rPr>
          <t xml:space="preserve">F12:</t>
        </r>
        <r>
          <rPr>
            <sz val="9"/>
            <color indexed="81"/>
            <rFont val="Segoe UI"/>
            <family val="2"/>
          </rPr>
          <t xml:space="preserve"> war 0,05 vorbelegt (5 % Abzug „nicht fertiggestellt“) und floss in die Summe F46.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Prüfskript Vorlagenfehler</author>
  </authors>
  <commentList>
    <comment ref="J3" authorId="1" shapeId="0">
      <text>
        <r>
          <rPr>
            <b/>
            <sz val="9"/>
            <color indexed="81"/>
            <rFont val="Segoe UI"/>
            <family val="2"/>
          </rPr>
          <t xml:space="preserve">F16:</t>
        </r>
        <r>
          <rPr>
            <sz val="9"/>
            <color indexed="81"/>
            <rFont val="Segoe UI"/>
            <family val="2"/>
          </rPr>
          <t xml:space="preserve"> war =(E3-24)/100*6 (negativ/ungerundet bei kleiner oder leerer Parzelle).</t>
        </r>
      </text>
    </commen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r>
          <rPr>
            <b/>
            <sz val="9"/>
            <color indexed="81"/>
            <rFont val="Segoe UI"/>
            <family val="2"/>
          </rPr>
          <t xml:space="preserve">
F33:</t>
        </r>
        <r>
          <rPr>
            <sz val="9"/>
            <color indexed="81"/>
            <rFont val="Segoe UI"/>
            <family val="2"/>
          </rPr>
          <t xml:space="preserve"> Beschreibung (A8), Maßeinheit (B15:B18) und „Art“ (C15:C45) waren gesperrt – bei aktivem Blattschutz nicht bedienbar.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Prüfskript Vorlagenfehler</author>
  </authors>
  <commentList>
    <comment ref="F5" authorId="1" shapeId="0">
      <text>
        <r>
          <rPr>
            <b/>
            <sz val="9"/>
            <color indexed="81"/>
            <rFont val="Segoe UI"/>
            <family val="2"/>
          </rPr>
          <t xml:space="preserve">F41:</t>
        </r>
        <r>
          <rPr>
            <sz val="9"/>
            <color indexed="81"/>
            <rFont val="Segoe UI"/>
            <family val="2"/>
          </rPr>
          <t xml:space="preserve"> war =-I10 (Rest ohne Funktion).</t>
        </r>
      </text>
    </comment>
    <comment ref="E44" authorId="1" shapeId="0">
      <text>
        <r>
          <rPr>
            <b/>
            <sz val="9"/>
            <color indexed="81"/>
            <rFont val="Segoe UI"/>
            <family val="2"/>
          </rPr>
          <t xml:space="preserve">F09:</t>
        </r>
        <r>
          <rPr>
            <sz val="9"/>
            <color indexed="81"/>
            <rFont val="Segoe UI"/>
            <family val="2"/>
          </rPr>
          <t xml:space="preserve"> Restnutzungstabelle Bauklasse IV nach 40 Jahren leer (→ 0 % Abzug); jetzt 10 % (letzter Tabellenwert E43). E44:E83. Bitte BV bestätigen.</t>
        </r>
      </text>
    </comment>
    <comment ref="D64" authorId="1" shapeId="0">
      <text>
        <r>
          <rPr>
            <b/>
            <sz val="9"/>
            <color indexed="81"/>
            <rFont val="Segoe UI"/>
            <family val="2"/>
          </rPr>
          <t xml:space="preserve">F09:</t>
        </r>
        <r>
          <rPr>
            <sz val="9"/>
            <color indexed="81"/>
            <rFont val="Segoe UI"/>
            <family val="2"/>
          </rPr>
          <t xml:space="preserve"> Restnutzungstabelle Bauklasse II/III nach 60 Jahren leer (→ 0 % Abzug); jetzt 10 % (letzter Tabellenwert D63). D64:D83. Bitte BV bestätigen.</t>
        </r>
      </text>
    </comment>
    <comment ref="H81" authorId="0" shapeId="0" xr:uid="{CAFC7C02-0CCC-4623-9549-8B8C9D192FB2}">
      <text>
        <r>
          <rPr>
            <b/>
            <sz val="9"/>
            <color indexed="81"/>
            <rFont val="Segoe UI"/>
            <family val="2"/>
          </rPr>
          <t>user:</t>
        </r>
        <r>
          <rPr>
            <sz val="9"/>
            <color indexed="81"/>
            <rFont val="Segoe UI"/>
            <family val="2"/>
          </rPr>
          <t xml:space="preserve">
</t>
        </r>
      </text>
    </comment>
    <comment ref="D88" authorId="1" shapeId="0">
      <text>
        <r>
          <rPr>
            <b/>
            <sz val="9"/>
            <color indexed="81"/>
            <rFont val="Segoe UI"/>
            <family val="2"/>
          </rPr>
          <t xml:space="preserve">F35:</t>
        </r>
        <r>
          <rPr>
            <sz val="9"/>
            <color indexed="81"/>
            <rFont val="Segoe UI"/>
            <family val="2"/>
          </rPr>
          <t xml:space="preserve"> bei leerer Typ-Auswahl kam #NV im ganzen Protokoll; jetzt Bauklasse 0 / NHK 0 / kein Altersabzug.</t>
        </r>
      </text>
    </comment>
    <comment ref="D103" authorId="1" shapeId="0">
      <text>
        <r>
          <rPr>
            <b/>
            <sz val="9"/>
            <color indexed="81"/>
            <rFont val="Segoe UI"/>
            <family val="2"/>
          </rPr>
          <t xml:space="preserve">F41:</t>
        </r>
        <r>
          <rPr>
            <sz val="9"/>
            <color indexed="81"/>
            <rFont val="Segoe UI"/>
            <family val="2"/>
          </rPr>
          <t xml:space="preserve"> war ein 22-fach verschachteltes WENN mit kaputtem Ende (=J19:J109); jetzt wie die anderen Bauteile.</t>
        </r>
      </text>
    </comment>
  </commentList>
</comments>
</file>

<file path=xl/comments8.xml><?xml version="1.0" encoding="utf-8"?>
<comments xmlns="http://schemas.openxmlformats.org/spreadsheetml/2006/main">
  <authors>
    <author>Prüfskript Vorlagenfehler</author>
  </authors>
  <commentList>
    <comment ref="C7" authorId="0" shapeId="0">
      <text>
        <r>
          <rPr>
            <b/>
            <sz val="9"/>
            <color indexed="81"/>
            <rFont val="Segoe UI"/>
            <family val="2"/>
          </rPr>
          <t xml:space="preserve">F36:</t>
        </r>
        <r>
          <rPr>
            <sz val="9"/>
            <color indexed="81"/>
            <rFont val="Segoe UI"/>
            <family val="2"/>
          </rPr>
          <t xml:space="preserve"> zeigte bei leeren Formalien „0“; jetzt leer. Dasselbe gilt für die Köpfe der übrigen Blätter (Vorschlag, dort nicht geändert).</t>
        </r>
      </text>
    </comment>
    <comment ref="C11" authorId="0" shapeId="0">
      <text>
        <r>
          <rPr>
            <b/>
            <sz val="9"/>
            <color indexed="81"/>
            <rFont val="Segoe UI"/>
            <family val="2"/>
          </rPr>
          <t xml:space="preserve">F36:</t>
        </r>
        <r>
          <rPr>
            <sz val="9"/>
            <color indexed="81"/>
            <rFont val="Segoe UI"/>
            <family val="2"/>
          </rPr>
          <t xml:space="preserve"> zeigte bei leerem Datum „00.01.1900“; jetzt leer.</t>
        </r>
      </text>
    </comment>
    <comment ref="E23" authorId="0" shapeId="0">
      <text>
        <r>
          <rPr>
            <b/>
            <sz val="9"/>
            <color indexed="81"/>
            <rFont val="Segoe UI"/>
            <family val="2"/>
          </rPr>
          <t xml:space="preserve">F10:</t>
        </r>
        <r>
          <rPr>
            <sz val="9"/>
            <color indexed="81"/>
            <rFont val="Segoe UI"/>
            <family val="2"/>
          </rPr>
          <t xml:space="preserve"> war =MAX('Aufwuchs I'!L46,'Aufwuchs II'!L46). Aufwuchs II enthält Aufwuchs I als Übertrag; MAX übersah Abzüge in Aufwuchs II.</t>
        </r>
      </text>
    </comment>
  </commentList>
</comments>
</file>

<file path=xl/comments9.xml><?xml version="1.0" encoding="utf-8"?>
<comments xmlns="http://schemas.openxmlformats.org/spreadsheetml/2006/main">
  <authors>
    <author>Prüfskript Vorlagenfehler</author>
  </authors>
  <commentList>
    <comment ref="B12" authorId="0" shapeId="0">
      <text>
        <r>
          <rPr>
            <b/>
            <sz val="9"/>
            <color indexed="81"/>
            <rFont val="Segoe UI"/>
            <family val="2"/>
          </rPr>
          <t xml:space="preserve">F33:</t>
        </r>
        <r>
          <rPr>
            <sz val="9"/>
            <color indexed="81"/>
            <rFont val="Segoe UI"/>
            <family val="2"/>
          </rPr>
          <t xml:space="preserve"> Eingabefelder B, F, G, H, J der Zeilen 12–23 und 34–44 waren gesperrt – bei aktivem Blattschutz hätte man nichts eintragen können.</t>
        </r>
      </text>
    </comment>
    <comment ref="H12" authorId="0" shapeId="0">
      <text>
        <r>
          <rPr>
            <b/>
            <sz val="9"/>
            <color indexed="81"/>
            <rFont val="Segoe UI"/>
            <family val="2"/>
          </rPr>
          <t xml:space="preserve">F12:</t>
        </r>
        <r>
          <rPr>
            <sz val="9"/>
            <color indexed="81"/>
            <rFont val="Segoe UI"/>
            <family val="2"/>
          </rPr>
          <t xml:space="preserve"> war 150 € vorbelegt („Einbehalt Fäkalienabfuhr“). Nur eintragen, wenn die Grube nicht geleert ist (Richtlinie S. 20). Siehe auch F30.</t>
        </r>
      </text>
    </comment>
    <comment ref="K12" authorId="0" shapeId="0">
      <text>
        <r>
          <rPr>
            <b/>
            <sz val="9"/>
            <color indexed="81"/>
            <rFont val="Segoe UI"/>
            <family val="2"/>
          </rPr>
          <t xml:space="preserve">F11:</t>
        </r>
        <r>
          <rPr>
            <sz val="9"/>
            <color indexed="81"/>
            <rFont val="Segoe UI"/>
            <family val="2"/>
          </rPr>
          <t xml:space="preserve"> Zeilensumme jetzt =ROUND(F*H*J;2) wie auf allen anderen Blättern (K12:K23 und K34:K44); vorher ohne Rundung.</t>
        </r>
      </text>
    </comment>
    <comment ref="M12" authorId="0" shapeId="0">
      <text>
        <r>
          <rPr>
            <b/>
            <sz val="9"/>
            <color indexed="81"/>
            <rFont val="Segoe UI"/>
            <family val="2"/>
          </rPr>
          <t xml:space="preserve">F42:</t>
        </r>
        <r>
          <rPr>
            <sz val="9"/>
            <color indexed="81"/>
            <rFont val="Segoe UI"/>
            <family val="2"/>
          </rPr>
          <t xml:space="preserve"> „enstsprechend“ korrigiert.</t>
        </r>
      </text>
    </comment>
    <comment ref="K21" authorId="0" shapeId="0">
      <text>
        <r>
          <rPr>
            <b/>
            <sz val="9"/>
            <color indexed="81"/>
            <rFont val="Segoe UI"/>
            <family val="2"/>
          </rPr>
          <t xml:space="preserve">F04:</t>
        </r>
        <r>
          <rPr>
            <sz val="9"/>
            <color indexed="81"/>
            <rFont val="Segoe UI"/>
            <family val="2"/>
          </rPr>
          <t xml:space="preserve"> hier fehlte die Formel (Zeile 9 zählte nicht in K24 und damit nicht auf das Deckblatt). F11: zusätzlich gerundet wie die anderen Zeilen.</t>
        </r>
      </text>
    </comment>
    <comment ref="A24" authorId="0" shapeId="0">
      <text>
        <r>
          <rPr>
            <b/>
            <sz val="9"/>
            <color indexed="81"/>
            <rFont val="Segoe UI"/>
            <family val="2"/>
          </rPr>
          <t xml:space="preserve">F43:</t>
        </r>
        <r>
          <rPr>
            <sz val="9"/>
            <color indexed="81"/>
            <rFont val="Segoe UI"/>
            <family val="2"/>
          </rPr>
          <t xml:space="preserve"> „12.“ stand in der Summenzeile.</t>
        </r>
      </text>
    </comment>
    <comment ref="M25" authorId="0" shapeId="0">
      <text>
        <r>
          <rPr>
            <b/>
            <sz val="9"/>
            <color indexed="81"/>
            <rFont val="Segoe UI"/>
            <family val="2"/>
          </rPr>
          <t xml:space="preserve">F42:</t>
        </r>
        <r>
          <rPr>
            <sz val="9"/>
            <color indexed="81"/>
            <rFont val="Segoe UI"/>
            <family val="2"/>
          </rPr>
          <t xml:space="preserve"> „enstsprechend“ korrigiert.</t>
        </r>
      </text>
    </comment>
    <comment ref="A26" authorId="0" shapeId="0">
      <text>
        <r>
          <rPr>
            <b/>
            <sz val="9"/>
            <color indexed="81"/>
            <rFont val="Segoe UI"/>
            <family val="2"/>
          </rPr>
          <t xml:space="preserve">F12:</t>
        </r>
        <r>
          <rPr>
            <sz val="9"/>
            <color indexed="81"/>
            <rFont val="Segoe UI"/>
            <family val="2"/>
          </rPr>
          <t xml:space="preserve"> vorbelegter Text zu bitumenhaltigen Stoffen stand in jedem Protokoll.</t>
        </r>
      </text>
    </comment>
    <comment ref="M29" authorId="0" shapeId="0">
      <text>
        <r>
          <rPr>
            <b/>
            <sz val="9"/>
            <color indexed="81"/>
            <rFont val="Segoe UI"/>
            <family val="2"/>
          </rPr>
          <t xml:space="preserve">F17:</t>
        </r>
        <r>
          <rPr>
            <sz val="9"/>
            <color indexed="81"/>
            <rFont val="Segoe UI"/>
            <family val="2"/>
          </rPr>
          <t xml:space="preserve"> war „Aussenhecke … (1,80m)“; die Richtlinie erlaubt höchstens 1,25 m.</t>
        </r>
      </text>
    </comment>
    <comment ref="A32" authorId="0" shapeId="0">
      <text>
        <r>
          <rPr>
            <b/>
            <sz val="9"/>
            <color indexed="81"/>
            <rFont val="Segoe UI"/>
            <family val="2"/>
          </rPr>
          <t xml:space="preserve">F42:</t>
        </r>
        <r>
          <rPr>
            <sz val="9"/>
            <color indexed="81"/>
            <rFont val="Segoe UI"/>
            <family val="2"/>
          </rPr>
          <t xml:space="preserve"> „entfernene“ korrigiert.</t>
        </r>
      </text>
    </comment>
    <comment ref="K34" authorId="0" shapeId="0">
      <text>
        <r>
          <rPr>
            <b/>
            <sz val="9"/>
            <color indexed="81"/>
            <rFont val="Segoe UI"/>
            <family val="2"/>
          </rPr>
          <t xml:space="preserve">F11:</t>
        </r>
        <r>
          <rPr>
            <sz val="9"/>
            <color indexed="81"/>
            <rFont val="Segoe UI"/>
            <family val="2"/>
          </rPr>
          <t xml:space="preserve"> Zeilensumme jetzt =ROUND(F*H*J;2); vorher ohne Rundung.</t>
        </r>
      </text>
    </comment>
    <comment ref="A43" authorId="0" shapeId="0">
      <text>
        <r>
          <rPr>
            <b/>
            <sz val="9"/>
            <color indexed="81"/>
            <rFont val="Segoe UI"/>
            <family val="2"/>
          </rPr>
          <t xml:space="preserve">F43:</t>
        </r>
        <r>
          <rPr>
            <sz val="9"/>
            <color indexed="81"/>
            <rFont val="Segoe UI"/>
            <family val="2"/>
          </rPr>
          <t xml:space="preserve"> stand „9.“ (doppelt).</t>
        </r>
      </text>
    </comment>
    <comment ref="A44" authorId="0" shapeId="0">
      <text>
        <r>
          <rPr>
            <b/>
            <sz val="9"/>
            <color indexed="81"/>
            <rFont val="Segoe UI"/>
            <family val="2"/>
          </rPr>
          <t xml:space="preserve">F43:</t>
        </r>
        <r>
          <rPr>
            <sz val="9"/>
            <color indexed="81"/>
            <rFont val="Segoe UI"/>
            <family val="2"/>
          </rPr>
          <t xml:space="preserve"> stand „10.“.</t>
        </r>
      </text>
    </comment>
    <comment ref="A46" authorId="0" shapeId="0">
      <text>
        <r>
          <rPr>
            <b/>
            <sz val="9"/>
            <color indexed="81"/>
            <rFont val="Segoe UI"/>
            <family val="2"/>
          </rPr>
          <t xml:space="preserve">F42:</t>
        </r>
        <r>
          <rPr>
            <sz val="9"/>
            <color indexed="81"/>
            <rFont val="Segoe UI"/>
            <family val="2"/>
          </rPr>
          <t xml:space="preserve"> „Sepzember“ korrigiert.</t>
        </r>
      </text>
    </comment>
  </commentList>
</comments>
</file>

<file path=xl/comments10.xml><?xml version="1.0" encoding="utf-8"?>
<comments xmlns="http://schemas.openxmlformats.org/spreadsheetml/2006/main">
  <authors>
    <author>Prüfskript Vorlagenfehler</author>
  </authors>
  <commentList>
    <comment ref="A1" authorId="0" shapeId="0">
      <text>
        <r>
          <rPr>
            <b/>
            <sz val="9"/>
            <color indexed="81"/>
            <rFont val="Segoe UI"/>
            <family val="2"/>
          </rPr>
          <t xml:space="preserve">F38:</t>
        </r>
        <r>
          <rPr>
            <sz val="9"/>
            <color indexed="81"/>
            <rFont val="Segoe UI"/>
            <family val="2"/>
          </rPr>
          <t xml:space="preserve"> Druckbereich gesetzt (ohne die Hinweise rechts und ohne „Seite 1“ in G1); Formalien druckt sonst auf 2–3 Seiten.</t>
        </r>
      </text>
    </comment>
    <comment ref="H6" authorId="0" shapeId="0">
      <text>
        <r>
          <rPr>
            <b/>
            <sz val="9"/>
            <color indexed="81"/>
            <rFont val="Segoe UI"/>
            <family val="2"/>
          </rPr>
          <t xml:space="preserve">F42:</t>
        </r>
        <r>
          <rPr>
            <sz val="9"/>
            <color indexed="81"/>
            <rFont val="Segoe UI"/>
            <family val="2"/>
          </rPr>
          <t xml:space="preserve"> Rest „wir.“ (vermutlich verlorene Aufzählungszeichen) gelöscht.</t>
        </r>
      </text>
    </comment>
    <comment ref="E17" authorId="0" shapeId="0">
      <text>
        <r>
          <rPr>
            <b/>
            <sz val="9"/>
            <color indexed="81"/>
            <rFont val="Segoe UI"/>
            <family val="2"/>
          </rPr>
          <t xml:space="preserve">F33:</t>
        </r>
        <r>
          <rPr>
            <sz val="9"/>
            <color indexed="81"/>
            <rFont val="Segoe UI"/>
            <family val="2"/>
          </rPr>
          <t xml:space="preserve"> Feld „Vorgangs-Nr.“ war gesperrt.</t>
        </r>
      </text>
    </comment>
  </commentList>
</comments>
</file>

<file path=xl/comments11.xml><?xml version="1.0" encoding="utf-8"?>
<comments xmlns="http://schemas.openxmlformats.org/spreadsheetml/2006/main">
  <authors>
    <author>Prüfskript Vorlagenfehler</author>
  </authors>
  <commentList>
    <comment ref="A1" authorId="0" shapeId="0">
      <text>
        <r>
          <rPr>
            <b/>
            <sz val="9"/>
            <color indexed="81"/>
            <rFont val="Segoe UI"/>
            <family val="2"/>
          </rPr>
          <t xml:space="preserve">F44:</t>
        </r>
        <r>
          <rPr>
            <sz val="9"/>
            <color indexed="81"/>
            <rFont val="Segoe UI"/>
            <family val="2"/>
          </rPr>
          <t xml:space="preserve"> stand „Skizze – Baulichkeiten“ (von Skizze Bau kopiert).</t>
        </r>
      </text>
    </comment>
  </commentList>
</comments>
</file>

<file path=xl/comments12.xml><?xml version="1.0" encoding="utf-8"?>
<comments xmlns="http://schemas.openxmlformats.org/spreadsheetml/2006/main">
  <authors>
    <author>Prüfskript Vorlagenfehler</author>
  </authors>
  <commentList>
    <comment ref="L48" authorId="0" shapeId="0">
      <text>
        <r>
          <rPr>
            <b/>
            <sz val="9"/>
            <color indexed="81"/>
            <rFont val="Segoe UI"/>
            <family val="2"/>
          </rPr>
          <t xml:space="preserve">F38:</t>
        </r>
        <r>
          <rPr>
            <sz val="9"/>
            <color indexed="81"/>
            <rFont val="Segoe UI"/>
            <family val="2"/>
          </rPr>
          <t xml:space="preserve"> Druckbereich gesetzt wie bei Aufwuchs I.</t>
        </r>
      </text>
    </comment>
  </commentList>
</comments>
</file>

<file path=xl/comments13.xml><?xml version="1.0" encoding="utf-8"?>
<comments xmlns="http://schemas.openxmlformats.org/spreadsheetml/2006/main">
  <authors>
    <author>Prüfskript Vorlagenfehler</author>
  </authors>
  <commentList>
    <comment ref="H22" authorId="0" shapeId="0">
      <text>
        <r>
          <rPr>
            <b/>
            <sz val="9"/>
            <color indexed="81"/>
            <rFont val="Segoe UI"/>
            <family val="2"/>
          </rPr>
          <t xml:space="preserve">F39:</t>
        </r>
        <r>
          <rPr>
            <sz val="9"/>
            <color indexed="81"/>
            <rFont val="Segoe UI"/>
            <family val="2"/>
          </rPr>
          <t xml:space="preserve"> war =SUM(E22*G33) (falsche Zeile). Die übrigen Fehler der versteckten Altblätter (#BEZUG!) bleiben; Blätter besser löschen.</t>
        </r>
      </text>
    </comment>
  </commentList>
</comments>
</file>

<file path=xl/sharedStrings.xml><?xml version="1.0" encoding="utf-8"?>
<sst xmlns="http://schemas.openxmlformats.org/spreadsheetml/2006/main" count="1136" uniqueCount="646">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</sst>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5">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406">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xf numFmtId="174" fontId="24" fillId="14" borderId="0" xfId="0" applyNumberFormat="1" applyFont="1" applyFill="1"/>
    <xf numFmtId="49" fontId="66" fillId="14" borderId="0" xfId="1" applyNumberFormat="1" applyFont="1" applyBorder="1" applyAlignment="1" applyFill="1">
      <alignment horizontal="center"/>
    </xf>
    <xf numFmtId="44" fontId="66" fillId="14" borderId="36" xfId="1" applyFont="1" applyBorder="1" applyFill="1"/>
    <xf numFmtId="44" fontId="27" fillId="14" borderId="0" xfId="1" applyFont="1" applyAlignment="1" applyFill="1">
      <alignment horizontal="right"/>
    </xf>
    <xf numFmtId="0" fontId="38" fillId="14" borderId="0" xfId="0" applyFont="1" applyFill="1"/>
    <xf numFmtId="2" fontId="27" fillId="14" borderId="0" xfId="0" applyNumberFormat="1" applyFont="1" applyFill="1"/>
    <xf numFmtId="10" fontId="27" fillId="14" borderId="10" xfId="0" applyNumberFormat="1" applyFont="1" applyFill="1" applyBorder="1"/>
    <xf numFmtId="44" fontId="27" fillId="14" borderId="0" xfId="1" applyFont="1" applyFill="1"/>
    <xf numFmtId="44" fontId="66" fillId="14" borderId="1" xfId="1" applyFont="1" applyBorder="1" applyFill="1"/>
    <xf numFmtId="165" fontId="27" fillId="14" borderId="0" xfId="0" applyNumberFormat="1" applyFont="1" applyFill="1" applyProtection="1">
      <protection locked="0"/>
    </xf>
    <xf numFmtId="167" fontId="66" fillId="14" borderId="51" xfId="0" applyNumberFormat="1" applyFont="1" applyBorder="1" applyAlignment="1" applyProtection="1" applyFill="1">
      <alignment horizontal="right"/>
      <protection locked="0"/>
    </xf>
    <xf numFmtId="44" fontId="66" fillId="14" borderId="1" xfId="1" applyFont="1" applyBorder="1" applyProtection="1" applyFill="1">
      <protection locked="0"/>
    </xf>
    <xf numFmtId="44" fontId="27" fillId="14" borderId="10" xfId="1" applyFont="1" applyFill="1" applyBorder="1" applyProtection="1">
      <protection locked="0"/>
    </xf>
    <xf numFmtId="0" fontId="27" fillId="14" borderId="18" xfId="0" applyFont="1" applyFill="1" applyBorder="1" applyProtection="1">
      <protection locked="0"/>
    </xf>
    <xf numFmtId="49" fontId="27" fillId="14" borderId="18" xfId="0" applyNumberFormat="1" applyFont="1" applyFill="1" applyBorder="1" applyAlignment="1" applyProtection="1">
      <alignment horizontal="right"/>
      <protection locked="0"/>
    </xf>
    <xf numFmtId="1" fontId="27" fillId="14" borderId="10" xfId="0" applyNumberFormat="1" applyFont="1" applyFill="1" applyBorder="1" applyAlignment="1" applyProtection="1">
      <alignment horizontal="center"/>
      <protection locked="0"/>
    </xf>
    <xf numFmtId="2" fontId="27" fillId="14" borderId="45" xfId="0" applyNumberFormat="1" applyFont="1" applyBorder="1" applyFill="1"/>
    <xf numFmtId="167" fontId="27" fillId="14" borderId="57" xfId="0" applyNumberFormat="1" applyFont="1" applyBorder="1" applyFill="1"/>
    <xf numFmtId="2" fontId="0" fillId="14" borderId="3" xfId="0" applyNumberFormat="1" applyBorder="1" applyFill="1"/>
    <xf numFmtId="0" fontId="23" fillId="14" borderId="0" xfId="0" applyFont="1" applyFill="1"/>
    <xf numFmtId="0" fontId="27" fillId="14" borderId="0" xfId="0" applyFont="1" applyFill="1"/>
    <xf numFmtId="0" fontId="27" fillId="14" borderId="0" xfId="0" quotePrefix="1" applyFont="1" applyAlignment="1" applyFill="1">
      <alignment horizontal="right"/>
    </xf>
    <xf numFmtId="0" fontId="27" fillId="14" borderId="26" xfId="0" applyFont="1" applyBorder="1" applyFill="1"/>
    <xf numFmtId="44" fontId="27" fillId="14" borderId="27" xfId="0" applyNumberFormat="1" applyFont="1" applyBorder="1" applyFill="1"/>
    <xf numFmtId="0" fontId="31" fillId="14" borderId="0" xfId="0" applyFont="1" applyAlignment="1" applyFill="1">
      <alignment horizontal="left" vertical="top" wrapText="1"/>
    </xf>
    <xf numFmtId="2" fontId="0" fillId="14" borderId="3" xfId="0" applyNumberFormat="1" applyBorder="1" applyFill="1" applyProtection="1">
      <protection locked="0"/>
    </xf>
    <xf numFmtId="49" fontId="66" fillId="0" borderId="0" xfId="1" applyNumberFormat="1" applyFont="1" applyBorder="1" applyAlignment="1" applyProtection="1">
      <alignment horizontal="center"/>
      <protection locked="1"/>
    </xf>
    <xf numFmtId="0" fontId="66" fillId="0" borderId="0" xfId="1" applyNumberFormat="1" applyFont="1" applyAlignment="1" applyProtection="1">
      <alignment horizontal="center"/>
      <protection locked="1"/>
    </xf>
    <xf numFmtId="165" fontId="27" fillId="14" borderId="0" xfId="0" applyNumberFormat="1" applyFont="1" applyFill="1" applyProtection="1">
      <protection locked="1"/>
    </xf>
    <xf numFmtId="167" fontId="66" fillId="14" borderId="51" xfId="0" applyNumberFormat="1" applyFont="1" applyBorder="1" applyAlignment="1" applyProtection="1" applyFill="1">
      <alignment horizontal="right"/>
      <protection locked="1"/>
    </xf>
    <xf numFmtId="167" fontId="36" fillId="14" borderId="0" xfId="5" applyNumberFormat="1" applyFont="1" applyFill="1" applyBorder="1" applyAlignment="1">
      <alignment vertical="center"/>
    </xf>
    <xf numFmtId="0" fontId="51" fillId="14" borderId="10" xfId="3" applyFont="1" applyFill="1" applyBorder="1" applyAlignment="1">
      <alignment horizontal="center" vertical="center"/>
    </xf>
    <xf numFmtId="0" fontId="51" fillId="14" borderId="18" xfId="3" applyFont="1" applyFill="1" applyBorder="1" applyAlignment="1">
      <alignment horizontal="center" vertical="center"/>
    </xf>
    <xf numFmtId="0" fontId="36" fillId="14" borderId="1" xfId="3" applyFont="1" applyBorder="1" applyAlignment="1" applyFill="1">
      <alignment horizontal="center" vertical="center"/>
    </xf>
    <xf numFmtId="0" fontId="51" fillId="14" borderId="10" xfId="3" applyFont="1" applyBorder="1" applyAlignment="1" applyFill="1">
      <alignment horizontal="left" vertical="center"/>
    </xf>
    <xf numFmtId="49" fontId="51" fillId="14" borderId="18" xfId="3" applyNumberFormat="1" applyFont="1" applyBorder="1" applyAlignment="1" applyFill="1">
      <alignment horizontal="left" vertical="center"/>
    </xf>
    <xf numFmtId="14" fontId="51" fillId="14" borderId="10" xfId="3" applyNumberFormat="1" applyFont="1" applyFill="1" applyBorder="1" applyAlignment="1">
      <alignment horizontal="center" vertical="center"/>
    </xf>
    <xf numFmtId="0" fontId="23" fillId="14" borderId="0" xfId="0" applyFont="1" applyAlignment="1" applyFill="1">
      <alignment horizontal="right" vertical="center"/>
    </xf>
    <xf numFmtId="167" fontId="42" fillId="14" borderId="82" xfId="3" applyNumberFormat="1" applyFont="1" applyBorder="1" applyAlignment="1" applyFill="1">
      <alignment horizontal="right"/>
    </xf>
    <xf numFmtId="167" fontId="29" fillId="14" borderId="84" xfId="3" applyNumberFormat="1" applyFont="1" applyBorder="1" applyAlignment="1" applyFill="1">
      <alignment horizontal="right"/>
    </xf>
    <xf numFmtId="167" fontId="29" fillId="14" borderId="97" xfId="3" applyNumberFormat="1" applyFont="1" applyBorder="1" applyAlignment="1" applyFill="1">
      <alignment horizontal="right"/>
    </xf>
    <xf numFmtId="167" fontId="29" fillId="14" borderId="83" xfId="3" applyNumberFormat="1" applyFont="1" applyBorder="1" applyAlignment="1" applyFill="1">
      <alignment horizontal="right"/>
    </xf>
    <xf numFmtId="44" fontId="29" fillId="14" borderId="82" xfId="3" applyNumberFormat="1" applyFont="1" applyBorder="1" applyAlignment="1" applyFill="1">
      <alignment horizontal="right" vertical="center"/>
    </xf>
    <xf numFmtId="44" fontId="29" fillId="14" borderId="83" xfId="3" applyNumberFormat="1" applyFont="1" applyBorder="1" applyAlignment="1" applyFill="1">
      <alignment horizontal="right" vertical="center"/>
    </xf>
    <xf numFmtId="44" fontId="29" fillId="14" borderId="84" xfId="3" applyNumberFormat="1" applyFont="1" applyBorder="1" applyAlignment="1" applyFill="1">
      <alignment horizontal="right" vertical="center"/>
    </xf>
    <xf numFmtId="167" fontId="29" fillId="14" borderId="47" xfId="3" applyNumberFormat="1" applyFont="1" applyBorder="1" applyAlignment="1" applyFill="1">
      <alignment horizontal="right" vertical="center"/>
    </xf>
    <xf numFmtId="0" fontId="29" fillId="14" borderId="43" xfId="3" applyFont="1" applyBorder="1" applyAlignment="1" applyFill="1">
      <alignment horizontal="left" vertical="center"/>
    </xf>
    <xf numFmtId="0" fontId="29" fillId="14" borderId="1" xfId="0" applyFont="1" applyFill="1" applyBorder="1" applyAlignment="1" applyProtection="1">
      <alignment horizontal="left" vertical="center"/>
      <protection locked="0"/>
    </xf>
    <xf numFmtId="0" fontId="1" fillId="14" borderId="2" xfId="0" applyFont="1" applyFill="1" applyBorder="1" applyAlignment="1">
      <alignment horizontal="left" vertical="center"/>
    </xf>
    <xf numFmtId="0" fontId="0" fillId="14" borderId="1" xfId="0" applyFill="1" applyBorder="1" applyAlignment="1">
      <alignment horizontal="left" vertical="center"/>
    </xf>
    <xf numFmtId="0" fontId="36" fillId="14" borderId="75" xfId="3" applyFont="1" applyBorder="1" applyFill="1"/>
    <xf numFmtId="0" fontId="42" fillId="14" borderId="75" xfId="3" applyFont="1" applyBorder="1" applyFill="1"/>
    <xf numFmtId="0" fontId="29" fillId="14" borderId="85" xfId="3" applyFont="1" applyBorder="1" applyFill="1"/>
    <xf numFmtId="0" fontId="29" fillId="14" borderId="45" xfId="3" applyFont="1" applyBorder="1" applyFill="1"/>
    <xf numFmtId="0" fontId="29" fillId="14" borderId="1" xfId="3" applyFont="1" applyBorder="1" applyAlignment="1" applyFill="1">
      <alignment horizontal="center" vertical="center"/>
    </xf>
    <xf numFmtId="0" fontId="42" fillId="11" borderId="93" xfId="3" applyFont="1" applyFill="1" applyBorder="1" applyAlignment="1" applyProtection="1">
      <alignment horizontal="left"/>
      <protection locked="0"/>
    </xf>
    <xf numFmtId="0" fontId="29" fillId="0" borderId="47" xfId="3" applyFont="1" applyBorder="1" applyAlignment="1" applyProtection="1">
      <alignment horizontal="center" vertical="center"/>
      <protection locked="0"/>
    </xf>
    <xf numFmtId="167" fontId="29" fillId="14" borderId="47" xfId="3" applyNumberFormat="1" applyFont="1" applyBorder="1" applyAlignment="1" applyFill="1" applyProtection="1">
      <alignment horizontal="right" vertical="center"/>
      <protection locked="0"/>
    </xf>
    <xf numFmtId="9" fontId="29" fillId="0" borderId="34" xfId="3" applyNumberFormat="1" applyFont="1" applyBorder="1" applyAlignment="1" applyProtection="1">
      <alignment horizontal="center" vertical="center"/>
      <protection locked="0"/>
    </xf>
    <xf numFmtId="0" fontId="42" fillId="11" borderId="95" xfId="3" applyFont="1" applyFill="1" applyBorder="1" applyAlignment="1" applyProtection="1">
      <alignment horizontal="left"/>
      <protection locked="0"/>
    </xf>
    <xf numFmtId="0" fontId="29" fillId="0" borderId="57" xfId="3" applyFont="1" applyBorder="1" applyAlignment="1" applyProtection="1">
      <alignment horizontal="center" vertical="center"/>
      <protection locked="0"/>
    </xf>
    <xf numFmtId="167" fontId="29" fillId="0" borderId="57" xfId="3" applyNumberFormat="1" applyFont="1" applyBorder="1" applyAlignment="1" applyProtection="1">
      <alignment horizontal="right" vertical="center"/>
      <protection locked="0"/>
    </xf>
    <xf numFmtId="9" fontId="29" fillId="0" borderId="96" xfId="3" applyNumberFormat="1" applyFont="1" applyBorder="1" applyAlignment="1" applyProtection="1">
      <alignment horizontal="center" vertical="center"/>
      <protection locked="0"/>
    </xf>
    <xf numFmtId="0" fontId="29" fillId="11" borderId="9" xfId="3" applyFont="1" applyFill="1" applyBorder="1" applyAlignment="1" applyProtection="1">
      <alignment horizontal="left"/>
      <protection locked="0"/>
    </xf>
    <xf numFmtId="0" fontId="29" fillId="0" borderId="4" xfId="3" applyFont="1" applyBorder="1" applyAlignment="1" applyProtection="1">
      <alignment horizontal="center" vertical="center"/>
      <protection locked="0"/>
    </xf>
    <xf numFmtId="167" fontId="29" fillId="0" borderId="4" xfId="3" applyNumberFormat="1" applyFont="1" applyBorder="1" applyAlignment="1" applyProtection="1">
      <alignment horizontal="right" vertical="center"/>
      <protection locked="0"/>
    </xf>
    <xf numFmtId="9" fontId="29" fillId="0" borderId="9" xfId="3" applyNumberFormat="1" applyFont="1" applyBorder="1" applyAlignment="1" applyProtection="1">
      <alignment horizontal="center" vertical="center"/>
      <protection locked="0"/>
    </xf>
    <xf numFmtId="0" fontId="29" fillId="11" borderId="13" xfId="3" applyFont="1" applyFill="1" applyBorder="1" applyAlignment="1" applyProtection="1">
      <alignment horizontal="left"/>
      <protection locked="0"/>
    </xf>
    <xf numFmtId="0" fontId="29" fillId="0" borderId="1" xfId="3" applyFont="1" applyBorder="1" applyAlignment="1" applyProtection="1">
      <alignment horizontal="center" vertical="center"/>
      <protection locked="0"/>
    </xf>
    <xf numFmtId="167" fontId="29" fillId="0" borderId="1" xfId="3" applyNumberFormat="1" applyFont="1" applyBorder="1" applyAlignment="1" applyProtection="1">
      <alignment horizontal="right" vertical="center"/>
      <protection locked="0"/>
    </xf>
    <xf numFmtId="9" fontId="29" fillId="0" borderId="13" xfId="3" applyNumberFormat="1" applyFont="1" applyBorder="1" applyAlignment="1" applyProtection="1">
      <alignment horizontal="center" vertical="center"/>
      <protection locked="0"/>
    </xf>
    <xf numFmtId="0" fontId="29" fillId="11" borderId="13" xfId="3" applyFont="1" applyFill="1" applyBorder="1" applyAlignment="1" applyProtection="1">
      <alignment horizontal="left"/>
      <protection locked="0"/>
    </xf>
    <xf numFmtId="167" fontId="29" fillId="0" borderId="13" xfId="3" applyNumberFormat="1" applyFont="1" applyBorder="1" applyAlignment="1" applyProtection="1">
      <alignment horizontal="right" vertical="center"/>
      <protection locked="0"/>
    </xf>
    <xf numFmtId="0" fontId="29" fillId="0" borderId="5" xfId="3" applyFont="1" applyBorder="1" applyAlignment="1" applyProtection="1">
      <alignment horizontal="center" vertical="center"/>
      <protection locked="0"/>
    </xf>
    <xf numFmtId="0" fontId="42" fillId="11" borderId="13" xfId="3" applyFont="1" applyFill="1" applyBorder="1" applyAlignment="1" applyProtection="1">
      <alignment horizontal="left"/>
      <protection locked="0"/>
    </xf>
    <xf numFmtId="2" fontId="29" fillId="0" borderId="1" xfId="3" applyNumberFormat="1" applyFont="1" applyBorder="1" applyAlignment="1" applyProtection="1">
      <alignment horizontal="center" vertical="center"/>
      <protection locked="0"/>
    </xf>
    <xf numFmtId="0" fontId="29" fillId="11" borderId="34" xfId="3" applyFont="1" applyFill="1" applyBorder="1" applyAlignment="1" applyProtection="1">
      <alignment horizontal="left" vertical="center"/>
      <protection locked="0"/>
    </xf>
    <xf numFmtId="0" fontId="29" fillId="0" borderId="11" xfId="3" applyFont="1" applyBorder="1" applyAlignment="1" applyProtection="1">
      <alignment horizontal="center" vertical="center"/>
      <protection locked="0"/>
    </xf>
    <xf numFmtId="44" fontId="29" fillId="0" borderId="4" xfId="3" applyNumberFormat="1" applyFont="1" applyBorder="1" applyAlignment="1" applyProtection="1">
      <alignment horizontal="right" vertical="center"/>
      <protection locked="0"/>
    </xf>
    <xf numFmtId="0" fontId="29" fillId="11" borderId="13" xfId="3" applyFont="1" applyFill="1" applyBorder="1" applyAlignment="1" applyProtection="1">
      <alignment horizontal="left" vertical="center"/>
      <protection locked="0"/>
    </xf>
    <xf numFmtId="44" fontId="29" fillId="0" borderId="1" xfId="3" applyNumberFormat="1" applyFont="1" applyBorder="1" applyAlignment="1" applyProtection="1">
      <alignment horizontal="right" vertical="center"/>
      <protection locked="0"/>
    </xf>
    <xf numFmtId="0" fontId="29" fillId="11" borderId="96" xfId="3" applyFont="1" applyFill="1" applyBorder="1" applyAlignment="1" applyProtection="1">
      <alignment horizontal="left" vertical="center"/>
      <protection locked="0"/>
    </xf>
    <xf numFmtId="9" fontId="29" fillId="0" borderId="6" xfId="3" applyNumberFormat="1" applyFont="1" applyBorder="1" applyAlignment="1" applyProtection="1">
      <alignment horizontal="center" vertical="center"/>
      <protection locked="0"/>
    </xf>
    <xf numFmtId="49" fontId="42" fillId="0" borderId="75" xfId="6" applyFont="1" applyBorder="1" applyAlignment="1" applyProtection="1">
      <alignment horizontal="left" wrapText="1"/>
      <protection locked="0"/>
    </xf>
    <xf numFmtId="0" fontId="29" fillId="0" borderId="47" xfId="6" applyNumberFormat="1" applyFont="1" applyBorder="1" applyAlignment="1" applyProtection="1">
      <alignment horizontal="center" vertical="center"/>
      <protection locked="0"/>
    </xf>
    <xf numFmtId="0" fontId="29" fillId="0" borderId="1" xfId="6" applyNumberFormat="1" applyFont="1" applyBorder="1" applyAlignment="1" applyProtection="1">
      <alignment horizontal="center" vertical="center"/>
      <protection locked="0"/>
    </xf>
    <xf numFmtId="49" fontId="29" fillId="0" borderId="47" xfId="6" applyFont="1" applyBorder="1" applyAlignment="1" applyProtection="1">
      <alignment horizontal="left" vertical="center"/>
      <protection locked="0"/>
    </xf>
    <xf numFmtId="49" fontId="29" fillId="0" borderId="1" xfId="6" applyFont="1" applyBorder="1" applyAlignment="1" applyProtection="1">
      <alignment horizontal="left" vertical="center"/>
      <protection locked="0"/>
    </xf>
    <xf numFmtId="49" fontId="29" fillId="0" borderId="13" xfId="6" applyFont="1" applyBorder="1" applyAlignment="1" applyProtection="1">
      <alignment horizontal="left" vertical="center"/>
      <protection locked="0"/>
    </xf>
    <xf numFmtId="49" fontId="29" fillId="0" borderId="57" xfId="6" applyFont="1" applyBorder="1" applyAlignment="1" applyProtection="1">
      <alignment horizontal="left" vertical="center"/>
      <protection locked="0"/>
    </xf>
    <xf numFmtId="0" fontId="29" fillId="10" borderId="1" xfId="3" applyFont="1" applyFill="1" applyBorder="1" applyAlignment="1" applyProtection="1">
      <alignment horizontal="center" vertical="center"/>
      <protection locked="0"/>
    </xf>
    <xf numFmtId="0" fontId="61" fillId="14" borderId="1" xfId="3" applyFont="1" applyBorder="1" applyAlignment="1" applyFill="1">
      <alignment horizontal="right"/>
    </xf>
    <xf numFmtId="0" fontId="24" fillId="14" borderId="47" xfId="0" applyFont="1" applyBorder="1" applyFill="1"/>
    <xf numFmtId="0" fontId="24" fillId="14" borderId="1" xfId="0" applyFont="1" applyBorder="1" applyFill="1"/>
    <xf numFmtId="0" fontId="61" fillId="14" borderId="1" xfId="3" applyFont="1" applyBorder="1" applyAlignment="1" applyFill="1">
      <alignment horizontal="left"/>
    </xf>
    <xf numFmtId="1" fontId="26" fillId="14" borderId="33" xfId="0" applyNumberFormat="1" applyFont="1" applyFill="1" applyBorder="1" applyAlignment="1" applyProtection="1">
      <alignment vertical="center"/>
      <protection locked="0"/>
    </xf>
    <xf numFmtId="1" fontId="23" fillId="0" borderId="28" xfId="0" applyNumberFormat="1" applyFont="1" applyBorder="1" applyAlignment="1" applyProtection="1">
      <alignment horizontal="left"/>
      <protection locked="1"/>
    </xf>
    <xf numFmtId="0" fontId="23" fillId="0" borderId="42" xfId="0" applyFont="1" applyBorder="1" applyAlignment="1" applyProtection="1">
      <alignment horizontal="left"/>
      <protection locked="1"/>
    </xf>
    <xf numFmtId="9" fontId="29" fillId="14" borderId="53" xfId="3" applyNumberFormat="1" applyFont="1" applyFill="1" applyBorder="1" applyAlignment="1" applyProtection="1">
      <alignment horizontal="center" vertical="center"/>
      <protection locked="0"/>
    </xf>
    <xf numFmtId="9" fontId="1" fillId="14" borderId="53" xfId="0" applyNumberFormat="1" applyFont="1" applyFill="1" applyBorder="1" applyAlignment="1" applyProtection="1">
      <alignment horizontal="center" vertical="center"/>
      <protection locked="0"/>
    </xf>
    <xf numFmtId="9" fontId="23" fillId="14" borderId="55" xfId="0" applyNumberFormat="1" applyFont="1" applyFill="1" applyBorder="1" applyAlignment="1" applyProtection="1">
      <alignment horizontal="center" vertical="center"/>
      <protection locked="0"/>
    </xf>
    <xf numFmtId="9" fontId="23" fillId="14" borderId="53" xfId="0" applyNumberFormat="1" applyFont="1" applyFill="1" applyBorder="1" applyAlignment="1" applyProtection="1">
      <alignment horizontal="center" vertical="center"/>
      <protection locked="0"/>
    </xf>
    <xf numFmtId="9" fontId="1" fillId="14" borderId="33" xfId="0" applyNumberFormat="1" applyFont="1" applyFill="1" applyBorder="1" applyAlignment="1" applyProtection="1">
      <alignment horizontal="center" vertical="center"/>
      <protection locked="0"/>
    </xf>
    <xf numFmtId="9" fontId="26" fillId="14" borderId="33" xfId="0" applyNumberFormat="1" applyFont="1" applyFill="1" applyBorder="1" applyAlignment="1" applyProtection="1">
      <alignment vertical="center"/>
      <protection locked="0"/>
    </xf>
    <xf numFmtId="9" fontId="79" fillId="14" borderId="3" xfId="0" applyNumberFormat="1" applyFont="1" applyBorder="1" applyFill="1"/>
    <xf numFmtId="0" fontId="36" fillId="14" borderId="0" xfId="3" applyFont="1" applyAlignment="1" applyFill="1">
      <alignment vertical="center"/>
    </xf>
    <xf numFmtId="0" fontId="1" fillId="14" borderId="0" xfId="0" applyFont="1" applyFill="1"/>
    <xf numFmtId="0" fontId="38" fillId="14" borderId="0" xfId="3" applyFont="1" applyFill="1"/>
    <xf numFmtId="0" fontId="0" fillId="14" borderId="1" xfId="0" applyFill="1" applyBorder="1"/>
    <xf numFmtId="0" fontId="0" fillId="14" borderId="7" xfId="0" applyFill="1" applyBorder="1"/>
    <xf numFmtId="0" fontId="0" fillId="14" borderId="7" xfId="0" applyBorder="1" applyFill="1"/>
    <xf numFmtId="44" fontId="0" fillId="14" borderId="10" xfId="1" applyFont="1" applyFill="1" applyBorder="1" applyAlignment="1">
      <alignment horizontal="center"/>
    </xf>
    <xf numFmtId="0" fontId="0" fillId="14" borderId="7" xfId="0" applyFill="1" applyBorder="1"/>
    <xf numFmtId="178" fontId="7" fillId="14" borderId="1" xfId="0" applyNumberFormat="1" applyFont="1" applyBorder="1" applyAlignment="1" applyFill="1">
      <alignment horizontal="righ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comments" Target="../comments10.xml"/><Relationship Id="rId3" Type="http://schemas.openxmlformats.org/officeDocument/2006/relationships/vmlDrawing" Target="../drawings/vmlDrawing10.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2" Type="http://schemas.openxmlformats.org/officeDocument/2006/relationships/comments" Target="../comments8.xml"/><Relationship Id="rId3" Type="http://schemas.openxmlformats.org/officeDocument/2006/relationships/vmlDrawing" Target="../drawings/vmlDrawing8.v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 Id="rId2" Type="http://schemas.openxmlformats.org/officeDocument/2006/relationships/comments" Target="../comments12.xml"/><Relationship Id="rId3" Type="http://schemas.openxmlformats.org/officeDocument/2006/relationships/vmlDrawing" Target="../drawings/vmlDrawing1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 Id="rId2" Type="http://schemas.openxmlformats.org/officeDocument/2006/relationships/comments" Target="../comments13.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 Id="rId3" Type="http://schemas.openxmlformats.org/officeDocument/2006/relationships/comments" Target="../comments9.xml"/><Relationship Id="rId4"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 Id="rId3" Type="http://schemas.openxmlformats.org/officeDocument/2006/relationships/comments" Target="../comments11.xml"/><Relationship Id="rId4"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c r="F3" s="810"/>
      <c r="G3" s="331"/>
      <c r="H3" s="331" t="s">
        <v>418</v>
      </c>
      <c r="I3" s="623"/>
      <c r="J3" s="623"/>
      <c r="K3" s="623"/>
      <c r="L3" s="623"/>
      <c r="M3" s="623"/>
      <c r="N3" s="623"/>
    </row>
    <row r="4" spans="1:14" ht="15" x14ac:dyDescent="0.25">
      <c r="A4" s="193"/>
      <c r="B4" s="193" t="s">
        <v>52</v>
      </c>
      <c r="C4" s="193"/>
      <c r="D4" s="193"/>
      <c r="E4" s="815"/>
      <c r="F4" s="816"/>
      <c r="G4" s="331"/>
      <c r="H4" s="331"/>
      <c r="I4" s="331"/>
      <c r="J4" s="331"/>
      <c r="K4" s="331"/>
      <c r="L4" s="331"/>
      <c r="M4" s="331"/>
      <c r="N4" s="331"/>
    </row>
    <row r="5" spans="1:14" ht="15" x14ac:dyDescent="0.25">
      <c r="A5" s="193"/>
      <c r="B5" s="193" t="s">
        <v>516</v>
      </c>
      <c r="C5" s="193"/>
      <c r="D5" s="359"/>
      <c r="E5" s="811"/>
      <c r="F5" s="812"/>
      <c r="G5" s="331"/>
      <c r="H5" s="331" t="s">
        <v>419</v>
      </c>
      <c r="I5" s="623"/>
      <c r="J5" s="623"/>
      <c r="K5" s="623"/>
      <c r="L5" s="623"/>
      <c r="M5" s="623"/>
      <c r="N5" s="623"/>
    </row>
    <row r="6" spans="1:14" ht="15" x14ac:dyDescent="0.25">
      <c r="A6" s="193"/>
      <c r="B6" s="193" t="s">
        <v>53</v>
      </c>
      <c r="C6" s="193"/>
      <c r="D6" s="193"/>
      <c r="E6" s="813"/>
      <c r="F6" s="813"/>
      <c r="G6" s="331"/>
      <c r="H6" s="1398"/>
      <c r="I6" s="331" t="s">
        <v>420</v>
      </c>
      <c r="J6" s="623"/>
      <c r="K6" s="623"/>
      <c r="L6" s="623"/>
      <c r="M6" s="623"/>
      <c r="N6" s="331" t="s">
        <v>621</v>
      </c>
    </row>
    <row r="7" spans="1:14" ht="15" x14ac:dyDescent="0.25">
      <c r="A7" s="193"/>
      <c r="B7" s="362" t="s">
        <v>152</v>
      </c>
      <c r="C7" s="196"/>
      <c r="D7" s="195"/>
      <c r="E7" s="812"/>
      <c r="F7" s="812"/>
      <c r="G7" s="331"/>
      <c r="H7" s="1399"/>
      <c r="I7" s="331" t="s">
        <v>555</v>
      </c>
      <c r="J7" s="623"/>
      <c r="K7" s="623"/>
      <c r="L7" s="623"/>
      <c r="M7" s="623"/>
      <c r="N7" s="331" t="s">
        <v>622</v>
      </c>
    </row>
    <row r="8" spans="1:14" ht="15" x14ac:dyDescent="0.25">
      <c r="A8" s="193"/>
      <c r="B8" s="196"/>
      <c r="C8" s="362" t="s">
        <v>148</v>
      </c>
      <c r="D8" s="196"/>
      <c r="E8" s="812"/>
      <c r="F8" s="812"/>
      <c r="G8" s="331"/>
      <c r="H8" s="1399"/>
      <c r="I8" s="643" t="s">
        <v>612</v>
      </c>
      <c r="J8" s="623"/>
      <c r="K8" s="623"/>
      <c r="L8" s="623"/>
      <c r="M8" s="623"/>
      <c r="N8" s="331" t="s">
        <v>623</v>
      </c>
    </row>
    <row r="9" spans="1:14" ht="15" x14ac:dyDescent="0.25">
      <c r="A9" s="360"/>
      <c r="B9" s="193" t="s">
        <v>54</v>
      </c>
      <c r="C9" s="358" t="s">
        <v>417</v>
      </c>
      <c r="D9" s="193"/>
      <c r="E9" s="813"/>
      <c r="F9" s="813"/>
      <c r="G9" s="331"/>
      <c r="H9" s="623"/>
      <c r="I9" s="331" t="s">
        <v>421</v>
      </c>
      <c r="J9" s="623"/>
      <c r="K9" s="623"/>
      <c r="L9" s="623"/>
      <c r="M9" s="623"/>
      <c r="N9" s="331" t="s">
        <v>624</v>
      </c>
    </row>
    <row r="10" spans="1:14" ht="15" x14ac:dyDescent="0.25">
      <c r="A10" s="193"/>
      <c r="B10" s="193"/>
      <c r="C10" s="193" t="s">
        <v>55</v>
      </c>
      <c r="D10" s="193"/>
      <c r="E10" s="813"/>
      <c r="F10" s="813"/>
      <c r="G10" s="331"/>
      <c r="H10" s="1399"/>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c r="F14" s="808"/>
      <c r="G14" s="331"/>
      <c r="H14" s="331" t="s">
        <v>554</v>
      </c>
      <c r="I14" s="623"/>
      <c r="J14" s="623"/>
      <c r="K14" s="623"/>
      <c r="L14" s="623"/>
      <c r="M14" s="623"/>
      <c r="N14" s="623"/>
    </row>
    <row r="15" spans="1:14" ht="15" x14ac:dyDescent="0.25">
      <c r="A15" s="193"/>
      <c r="B15" s="193" t="s">
        <v>549</v>
      </c>
      <c r="C15" s="193"/>
      <c r="D15" s="193"/>
      <c r="E15" s="640"/>
      <c r="F15" s="568"/>
      <c r="G15" s="331"/>
      <c r="H15" s="1398"/>
      <c r="I15" s="331" t="s">
        <v>420</v>
      </c>
      <c r="J15" s="623"/>
      <c r="K15" s="623"/>
      <c r="L15" s="623"/>
      <c r="M15" s="623"/>
      <c r="N15" s="331" t="s">
        <v>621</v>
      </c>
    </row>
    <row r="16" spans="1:14" ht="15" x14ac:dyDescent="0.25">
      <c r="A16" s="193"/>
      <c r="B16" s="193" t="s">
        <v>56</v>
      </c>
      <c r="C16" s="193"/>
      <c r="D16" s="194"/>
      <c r="E16" s="641"/>
      <c r="F16" s="198" t="s">
        <v>61</v>
      </c>
      <c r="G16" s="331"/>
      <c r="H16" s="1398"/>
      <c r="I16" s="331" t="s">
        <v>613</v>
      </c>
      <c r="J16" s="623"/>
      <c r="K16" s="623"/>
      <c r="L16" s="623"/>
      <c r="M16" s="623"/>
      <c r="N16" s="331" t="s">
        <v>625</v>
      </c>
    </row>
    <row r="17" spans="1:14" ht="15" x14ac:dyDescent="0.25">
      <c r="A17" s="358"/>
      <c r="B17" s="567" t="s">
        <v>521</v>
      </c>
      <c r="C17" s="193"/>
      <c r="D17" s="356"/>
      <c r="E17" s="1382"/>
      <c r="F17" s="193"/>
      <c r="G17" s="331"/>
      <c r="H17" s="1398"/>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1398"/>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1323">
        <f>IF(Formalien!$E$6="","",Formalien!$E$6)</f>
      </c>
      <c r="D7" s="782"/>
      <c r="E7" s="782"/>
      <c r="F7" s="782"/>
      <c r="G7" s="782"/>
    </row>
    <row r="8" spans="1:9" ht="15.75" x14ac:dyDescent="0.2">
      <c r="A8" s="788" t="s">
        <v>1</v>
      </c>
      <c r="B8" s="788"/>
      <c r="C8" s="1324">
        <f>IF(Formalien!$E$3="","",Formalien!$E$3)</f>
      </c>
      <c r="D8" s="783"/>
      <c r="E8" s="783"/>
      <c r="F8" s="783"/>
      <c r="G8" s="783"/>
    </row>
    <row r="9" spans="1:9" ht="15.75" x14ac:dyDescent="0.2">
      <c r="A9" s="788" t="s">
        <v>523</v>
      </c>
      <c r="B9" s="788"/>
      <c r="C9" s="1324">
        <f>IF(Formalien!$E$4="","",IF(Formalien!$E$5="",Formalien!$E$4,Formalien!$E$4&amp;" / "&amp;Formalien!$E$5))</f>
      </c>
      <c r="D9" s="783"/>
      <c r="E9" s="783"/>
      <c r="F9" s="783"/>
      <c r="G9" s="783"/>
      <c r="I9" s="646"/>
    </row>
    <row r="10" spans="1:9" ht="15.75" x14ac:dyDescent="0.2">
      <c r="A10" s="788" t="s">
        <v>521</v>
      </c>
      <c r="B10" s="788"/>
      <c r="C10" s="1325">
        <f>IF(Formalien!$E$17="","",Formalien!$E$17)</f>
      </c>
      <c r="D10" s="689"/>
      <c r="E10" s="690"/>
      <c r="F10" s="691"/>
      <c r="G10" s="691"/>
    </row>
    <row r="11" spans="1:9" ht="15.75" x14ac:dyDescent="0.2">
      <c r="A11" s="788" t="s">
        <v>145</v>
      </c>
      <c r="B11" s="788"/>
      <c r="C11" s="1328">
        <f>IF(Formalien!$E$14="","",Formalien!$E$14)</f>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1326">
        <f>IF(Formalien!$E$12="","",Formalien!$E$12)</f>
      </c>
      <c r="F13" s="787"/>
      <c r="G13" s="787"/>
    </row>
    <row r="14" spans="1:9" ht="15" customHeight="1" x14ac:dyDescent="0.2">
      <c r="A14" s="784"/>
      <c r="B14" s="780" t="s">
        <v>520</v>
      </c>
      <c r="C14" s="780"/>
      <c r="D14" s="780"/>
      <c r="E14" s="1327">
        <f>IF(Formalien!$E$13="","",Formalien!$E$13)</f>
      </c>
      <c r="F14" s="786"/>
      <c r="G14" s="786"/>
    </row>
    <row r="15" spans="1:9" ht="15" customHeight="1" x14ac:dyDescent="0.2">
      <c r="A15" s="784"/>
      <c r="B15" s="780" t="s">
        <v>2</v>
      </c>
      <c r="C15" s="780"/>
      <c r="D15" s="780"/>
      <c r="E15" s="1326">
        <f>IF(Formalien!$E$10="","",Formalien!$E$10)</f>
      </c>
      <c r="F15" s="787"/>
      <c r="G15" s="787"/>
    </row>
    <row r="16" spans="1:9" ht="15" customHeight="1" x14ac:dyDescent="0.2">
      <c r="A16" s="784"/>
      <c r="B16" s="780" t="s">
        <v>445</v>
      </c>
      <c r="C16" s="780"/>
      <c r="D16" s="780"/>
      <c r="E16" s="1326">
        <f>IF(Formalien!$E$11="","",Formalien!$E$11)</f>
      </c>
      <c r="F16" s="787"/>
      <c r="G16" s="787"/>
    </row>
    <row r="17" spans="1:13" ht="15" customHeight="1" x14ac:dyDescent="0.2">
      <c r="A17" s="784"/>
      <c r="B17" s="780" t="s">
        <v>444</v>
      </c>
      <c r="C17" s="780"/>
      <c r="D17" s="780"/>
      <c r="E17" s="1326">
        <f>IF(Formalien!$E$9="","",Formalien!$E$9)</f>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c>
      <c r="F21" s="794" t="s">
        <v>119</v>
      </c>
      <c r="G21" s="795"/>
      <c r="H21" s="477"/>
      <c r="K21" s="792"/>
      <c r="L21" s="792"/>
      <c r="M21" s="792"/>
    </row>
    <row r="22" spans="1:13" ht="19.899999999999999" customHeight="1" x14ac:dyDescent="0.2">
      <c r="A22" s="330"/>
      <c r="B22" s="775" t="s">
        <v>522</v>
      </c>
      <c r="C22" s="776"/>
      <c r="D22" s="776"/>
      <c r="E22" s="685">
        <f>Außenanlagen!$L$46</f>
      </c>
      <c r="F22" s="342"/>
      <c r="G22" s="476"/>
      <c r="K22" s="792"/>
      <c r="L22" s="792"/>
      <c r="M22" s="792"/>
    </row>
    <row r="23" spans="1:13" ht="19.899999999999999" customHeight="1" x14ac:dyDescent="0.2">
      <c r="B23" s="775" t="s">
        <v>451</v>
      </c>
      <c r="C23" s="776"/>
      <c r="D23" s="776"/>
      <c r="E23" s="1322">
        <f>'Aufwuchs II'!L46</f>
      </c>
      <c r="F23" s="342"/>
      <c r="G23" s="476"/>
      <c r="L23" s="344"/>
      <c r="M23" s="344"/>
    </row>
    <row r="24" spans="1:13" ht="19.899999999999999" customHeight="1" x14ac:dyDescent="0.25">
      <c r="B24" s="793" t="s">
        <v>296</v>
      </c>
      <c r="C24" s="776"/>
      <c r="D24" s="776"/>
      <c r="E24" s="686">
        <f>SUM(E21:E23)</f>
      </c>
      <c r="F24" s="342"/>
      <c r="G24" s="476"/>
      <c r="J24" s="330"/>
      <c r="K24" s="789"/>
      <c r="L24" s="790"/>
      <c r="M24" s="342"/>
    </row>
    <row r="25" spans="1:13" ht="19.899999999999999" customHeight="1" x14ac:dyDescent="0.25">
      <c r="B25" s="775" t="s">
        <v>577</v>
      </c>
      <c r="C25" s="776"/>
      <c r="D25" s="776"/>
      <c r="E25" s="687">
        <f>Baulichkeiten!$H$104</f>
      </c>
      <c r="F25" s="342"/>
      <c r="G25" s="476"/>
      <c r="J25" s="330"/>
      <c r="K25" s="590"/>
      <c r="L25" s="591"/>
      <c r="M25" s="342"/>
    </row>
    <row r="26" spans="1:13" ht="19.899999999999999" customHeight="1" x14ac:dyDescent="0.2">
      <c r="B26" s="775" t="s">
        <v>572</v>
      </c>
      <c r="C26" s="776"/>
      <c r="D26" s="776"/>
      <c r="E26" s="687">
        <f>Beseitigungskosten!$K$24</f>
      </c>
      <c r="F26" s="342"/>
      <c r="G26" s="476"/>
      <c r="K26" s="495"/>
      <c r="L26" s="492"/>
      <c r="M26" s="342"/>
    </row>
    <row r="27" spans="1:13" ht="19.899999999999999" customHeight="1" thickBot="1" x14ac:dyDescent="0.25">
      <c r="B27" s="775" t="s">
        <v>630</v>
      </c>
      <c r="C27" s="803"/>
      <c r="D27" s="803"/>
      <c r="E27" s="687">
        <f>Beseitigungskosten!$K$45</f>
      </c>
      <c r="F27" s="342"/>
      <c r="G27" s="476"/>
      <c r="J27" s="330"/>
      <c r="K27" s="330"/>
    </row>
    <row r="28" spans="1:13" ht="19.899999999999999" customHeight="1" thickBot="1" x14ac:dyDescent="0.25">
      <c r="B28" s="777" t="s">
        <v>452</v>
      </c>
      <c r="C28" s="778"/>
      <c r="D28" s="778"/>
      <c r="E28" s="653">
        <f>SUM(E24-E25-E26-E27)</f>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c>
      <c r="E2" s="859"/>
      <c r="F2" s="872"/>
      <c r="G2" s="872"/>
      <c r="H2" s="363" t="s">
        <v>519</v>
      </c>
      <c r="I2" s="868">
        <f>Formalien!$E$4</f>
      </c>
      <c r="J2" s="868"/>
      <c r="K2" s="868"/>
    </row>
    <row r="3" spans="1:20" s="1" customFormat="1" x14ac:dyDescent="0.25">
      <c r="A3" s="849" t="s">
        <v>65</v>
      </c>
      <c r="B3" s="849"/>
      <c r="C3" s="849"/>
      <c r="D3" s="849"/>
      <c r="E3" s="366">
        <f>Formalien!$E$16</f>
      </c>
      <c r="F3" s="364" t="s">
        <v>61</v>
      </c>
      <c r="G3" s="508"/>
      <c r="H3" s="508"/>
      <c r="I3" s="870">
        <f>Formalien!$E$5</f>
      </c>
      <c r="J3" s="871"/>
      <c r="K3" s="871"/>
    </row>
    <row r="4" spans="1:20" s="1" customFormat="1" x14ac:dyDescent="0.25">
      <c r="A4" s="849" t="s">
        <v>0</v>
      </c>
      <c r="B4" s="849"/>
      <c r="C4" s="849"/>
      <c r="D4" s="849"/>
      <c r="E4" s="869">
        <f>Formalien!$E$6</f>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s">
        <v>355</v>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s">
        <v>536</v>
      </c>
      <c r="E12" s="374" t="s">
        <v>4</v>
      </c>
      <c r="F12">
        <f>Tabelle1!$D$88</f>
      </c>
      <c r="G12" s="848" t="s">
        <v>294</v>
      </c>
      <c r="H12" s="848"/>
      <c r="I12" s="848"/>
      <c r="J12" s="848"/>
      <c r="M12" s="844"/>
      <c r="N12" s="844"/>
      <c r="O12" s="844"/>
      <c r="P12" s="844"/>
    </row>
    <row r="13" spans="1:20" ht="16.5" customHeight="1" x14ac:dyDescent="0.25">
      <c r="B13" s="372" t="s">
        <v>122</v>
      </c>
      <c r="C13" s="382"/>
      <c r="D13" s="843"/>
      <c r="E13" s="843"/>
      <c r="F13" s="843"/>
      <c r="H13" s="374" t="s">
        <v>298</v>
      </c>
      <c r="I13" s="1307"/>
      <c r="J13" s="384"/>
      <c r="K13" s="315"/>
      <c r="M13" s="337"/>
      <c r="N13" s="385"/>
      <c r="O13" s="337"/>
    </row>
    <row r="14" spans="1:20" ht="16.5" customHeight="1" thickBot="1" x14ac:dyDescent="0.3">
      <c r="B14" s="374" t="s">
        <v>6</v>
      </c>
      <c r="C14" s="386">
        <f>Tabelle1!$B$90</f>
      </c>
      <c r="D14" s="374" t="s">
        <v>16</v>
      </c>
      <c r="E14" s="1305"/>
      <c r="F14" s="844" t="s">
        <v>299</v>
      </c>
      <c r="G14" s="844"/>
      <c r="H14" s="388">
        <f>ROUND(C14-C14*E14/100,2)</f>
      </c>
      <c r="I14" s="388"/>
      <c r="J14" s="384"/>
      <c r="M14" s="365"/>
      <c r="N14" s="342"/>
      <c r="O14" s="342"/>
      <c r="P14" s="834"/>
      <c r="Q14" s="834"/>
      <c r="R14" s="834"/>
      <c r="S14" s="373"/>
      <c r="T14" s="373"/>
    </row>
    <row r="15" spans="1:20" ht="16.5" customHeight="1" thickBot="1" x14ac:dyDescent="0.3">
      <c r="B15" s="388"/>
      <c r="C15" s="389">
        <f>$H$14</f>
      </c>
      <c r="D15" s="374" t="s">
        <v>16</v>
      </c>
      <c r="E15" s="390">
        <f>Tabelle1!$I$90</f>
      </c>
      <c r="F15" s="834" t="s">
        <v>300</v>
      </c>
      <c r="G15" s="834"/>
      <c r="H15" s="388">
        <f>ROUND(C15-C15*E15%,2)</f>
      </c>
      <c r="J15" s="384"/>
      <c r="M15" s="391" t="s">
        <v>44</v>
      </c>
      <c r="N15" s="392" t="s">
        <v>154</v>
      </c>
      <c r="O15" s="393"/>
      <c r="P15" s="394" t="s">
        <v>14</v>
      </c>
      <c r="S15" s="372"/>
      <c r="T15" s="373"/>
    </row>
    <row r="16" spans="1:20" ht="16.5" customHeight="1" thickBot="1" x14ac:dyDescent="0.3">
      <c r="C16" s="395">
        <f>$H$15</f>
      </c>
      <c r="D16" s="379" t="s">
        <v>18</v>
      </c>
      <c r="E16" s="1312">
        <f>$H$7/100</f>
      </c>
      <c r="F16" s="836" t="s">
        <v>436</v>
      </c>
      <c r="G16" s="836"/>
      <c r="H16" s="388">
        <f>ROUND(C16*E16,2)</f>
      </c>
      <c r="J16" s="384"/>
      <c r="M16" s="396" t="s">
        <v>40</v>
      </c>
      <c r="N16" s="863" t="s">
        <v>40</v>
      </c>
      <c r="O16" s="864"/>
      <c r="P16" s="397"/>
    </row>
    <row r="17" spans="1:18" ht="16.5" customHeight="1" thickBot="1" x14ac:dyDescent="0.3">
      <c r="A17" s="398"/>
      <c r="B17" s="372" t="s">
        <v>185</v>
      </c>
      <c r="C17" s="384">
        <f>$H$16</f>
      </c>
      <c r="D17" s="399" t="s">
        <v>9</v>
      </c>
      <c r="E17" s="384">
        <f>ROUND(A17*C17,2)</f>
      </c>
      <c r="F17" s="835"/>
      <c r="G17" s="835"/>
      <c r="H17" s="835"/>
      <c r="I17" s="378" t="s">
        <v>158</v>
      </c>
      <c r="J17" s="400">
        <f>$B$12</f>
      </c>
      <c r="K17" s="645">
        <f>E17</f>
      </c>
      <c r="M17" s="402" t="s">
        <v>159</v>
      </c>
      <c r="N17" s="403">
        <f>N45</f>
      </c>
      <c r="O17" s="404"/>
      <c r="P17" s="405">
        <v>515</v>
      </c>
    </row>
    <row r="18" spans="1:18" ht="16.5" customHeight="1" thickBot="1" x14ac:dyDescent="0.3">
      <c r="A18" s="406" t="s">
        <v>186</v>
      </c>
      <c r="D18" s="407"/>
      <c r="E18" s="408"/>
      <c r="F18" s="266"/>
      <c r="G18" s="266"/>
      <c r="H18" s="266"/>
      <c r="J18" s="384"/>
      <c r="M18" s="402" t="s">
        <v>160</v>
      </c>
      <c r="N18" s="403">
        <f>N46</f>
      </c>
      <c r="O18" s="404"/>
      <c r="P18" s="405">
        <v>595</v>
      </c>
    </row>
    <row r="19" spans="1:18" ht="16.5" customHeight="1" thickBot="1" x14ac:dyDescent="0.3">
      <c r="A19" s="378" t="s">
        <v>5</v>
      </c>
      <c r="B19" s="1311">
        <f>B12</f>
      </c>
      <c r="C19" s="806" t="s">
        <v>631</v>
      </c>
      <c r="D19" s="806"/>
      <c r="E19" s="806"/>
      <c r="F19" s="806"/>
      <c r="G19" s="806"/>
      <c r="H19" s="806"/>
      <c r="I19" s="1317"/>
      <c r="J19" t="s">
        <v>79</v>
      </c>
      <c r="M19" s="402" t="s">
        <v>161</v>
      </c>
      <c r="N19" s="403">
        <f>N47</f>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s">
        <v>360</v>
      </c>
      <c r="E21" s="374" t="s">
        <v>4</v>
      </c>
      <c r="F21" s="372">
        <f>Tabelle1!$D$93</f>
      </c>
      <c r="G21" s="848" t="s">
        <v>294</v>
      </c>
      <c r="H21" s="848"/>
      <c r="I21" s="848"/>
      <c r="J21" s="848"/>
      <c r="M21" s="402" t="s">
        <v>162</v>
      </c>
      <c r="N21" s="410">
        <f>N48</f>
      </c>
      <c r="O21" s="411"/>
      <c r="P21" s="405">
        <v>350</v>
      </c>
    </row>
    <row r="22" spans="1:18" ht="16.5" customHeight="1" x14ac:dyDescent="0.25">
      <c r="B22" s="372" t="s">
        <v>122</v>
      </c>
      <c r="C22" s="382"/>
      <c r="D22" s="843"/>
      <c r="E22" s="843"/>
      <c r="F22" s="843"/>
      <c r="H22" s="374" t="s">
        <v>298</v>
      </c>
      <c r="I22" s="1307"/>
      <c r="J22" s="384"/>
      <c r="K22" s="315"/>
      <c r="M22" s="412" t="s">
        <v>163</v>
      </c>
      <c r="N22" s="403">
        <f>N49</f>
      </c>
      <c r="O22" s="404"/>
      <c r="P22" s="405">
        <v>490</v>
      </c>
    </row>
    <row r="23" spans="1:18" ht="16.5" customHeight="1" x14ac:dyDescent="0.25">
      <c r="B23" s="374" t="s">
        <v>6</v>
      </c>
      <c r="C23" s="386">
        <f>Tabelle1!$B$95</f>
      </c>
      <c r="D23" s="374" t="s">
        <v>16</v>
      </c>
      <c r="E23" s="1305"/>
      <c r="F23" s="844" t="s">
        <v>299</v>
      </c>
      <c r="G23" s="844"/>
      <c r="H23" s="388">
        <f>ROUND(C23-C23*E23/100,2)</f>
      </c>
      <c r="I23" s="388"/>
      <c r="J23" s="384"/>
      <c r="M23" s="402" t="s">
        <v>42</v>
      </c>
      <c r="N23" s="817" t="s">
        <v>42</v>
      </c>
      <c r="O23" s="818"/>
      <c r="P23" s="405"/>
    </row>
    <row r="24" spans="1:18" ht="16.5" customHeight="1" x14ac:dyDescent="0.25">
      <c r="B24" s="388"/>
      <c r="C24" s="395">
        <f>$H$23</f>
      </c>
      <c r="D24" s="374" t="s">
        <v>16</v>
      </c>
      <c r="E24" s="390">
        <f>Tabelle1!$I$95</f>
      </c>
      <c r="F24" s="834" t="s">
        <v>300</v>
      </c>
      <c r="G24" s="834"/>
      <c r="H24" s="388">
        <f>ROUND(C24-C24*E24%,2)</f>
      </c>
      <c r="J24" s="384"/>
      <c r="M24" s="402" t="s">
        <v>164</v>
      </c>
      <c r="N24" s="403">
        <f t="shared" ref="N24:N29" si="0">N50</f>
      </c>
      <c r="O24" s="404"/>
      <c r="P24" s="405">
        <v>420</v>
      </c>
    </row>
    <row r="25" spans="1:18" ht="16.5" customHeight="1" thickBot="1" x14ac:dyDescent="0.3">
      <c r="C25" s="388">
        <f>$H$24</f>
      </c>
      <c r="D25" s="379" t="s">
        <v>18</v>
      </c>
      <c r="E25" s="1312">
        <f>$H$7/100</f>
      </c>
      <c r="F25" s="836" t="s">
        <v>436</v>
      </c>
      <c r="G25" s="836"/>
      <c r="H25" s="388">
        <f>ROUND(C25*E25,2)</f>
      </c>
      <c r="J25" s="384"/>
      <c r="M25" s="402" t="s">
        <v>165</v>
      </c>
      <c r="N25" s="403">
        <f t="shared" si="0"/>
      </c>
      <c r="O25" s="404"/>
      <c r="P25" s="405">
        <v>555</v>
      </c>
    </row>
    <row r="26" spans="1:18" ht="16.5" customHeight="1" thickBot="1" x14ac:dyDescent="0.3">
      <c r="A26" s="398"/>
      <c r="B26" s="372" t="s">
        <v>185</v>
      </c>
      <c r="C26" s="384">
        <f>$H$25</f>
      </c>
      <c r="D26" s="399" t="s">
        <v>9</v>
      </c>
      <c r="E26" s="384">
        <f>ROUND(A26*C26,2)</f>
      </c>
      <c r="F26" s="835"/>
      <c r="G26" s="835"/>
      <c r="H26" s="835"/>
      <c r="I26" s="378" t="s">
        <v>158</v>
      </c>
      <c r="J26" s="414">
        <f>$B$21</f>
      </c>
      <c r="K26" s="401">
        <f>E26</f>
      </c>
      <c r="M26" s="402" t="s">
        <v>166</v>
      </c>
      <c r="N26" s="403">
        <f t="shared" si="0"/>
      </c>
      <c r="O26" s="404"/>
      <c r="P26" s="405">
        <v>672</v>
      </c>
    </row>
    <row r="27" spans="1:18" ht="15.75" thickBot="1" x14ac:dyDescent="0.3">
      <c r="A27" s="406" t="s">
        <v>186</v>
      </c>
      <c r="M27" s="402" t="s">
        <v>164</v>
      </c>
      <c r="N27" s="415">
        <f t="shared" si="0"/>
      </c>
      <c r="O27" s="416"/>
      <c r="P27" s="405">
        <v>420</v>
      </c>
    </row>
    <row r="28" spans="1:18" ht="15.75" thickBot="1" x14ac:dyDescent="0.3">
      <c r="A28" s="378" t="s">
        <v>5</v>
      </c>
      <c r="B28" s="1311">
        <f>B21</f>
      </c>
      <c r="C28" s="806" t="s">
        <v>632</v>
      </c>
      <c r="D28" s="806"/>
      <c r="E28" s="806"/>
      <c r="F28" s="806"/>
      <c r="G28" s="806"/>
      <c r="H28" s="806"/>
      <c r="I28" s="1317"/>
      <c r="J28" t="s">
        <v>79</v>
      </c>
      <c r="M28" s="402" t="s">
        <v>165</v>
      </c>
      <c r="N28" s="415">
        <f t="shared" si="0"/>
      </c>
      <c r="O28" s="416"/>
      <c r="P28" s="405">
        <v>555</v>
      </c>
    </row>
    <row r="29" spans="1:18" x14ac:dyDescent="0.25">
      <c r="A29" s="378"/>
      <c r="B29" s="693"/>
      <c r="C29"/>
      <c r="D29"/>
      <c r="E29"/>
      <c r="F29"/>
      <c r="G29"/>
      <c r="H29"/>
      <c r="I29"/>
      <c r="J29"/>
      <c r="M29" s="419" t="s">
        <v>166</v>
      </c>
      <c r="N29" s="415">
        <f t="shared" si="0"/>
      </c>
      <c r="O29" s="416"/>
      <c r="P29" s="405">
        <v>672</v>
      </c>
    </row>
    <row r="30" spans="1:18" ht="16.5" customHeight="1" x14ac:dyDescent="0.25">
      <c r="A30" s="380" t="s">
        <v>5</v>
      </c>
      <c r="B30" s="381" t="s">
        <v>361</v>
      </c>
      <c r="E30" s="374" t="s">
        <v>4</v>
      </c>
      <c r="F30" s="372">
        <f>Tabelle1!$D$98</f>
      </c>
      <c r="G30" s="848" t="s">
        <v>294</v>
      </c>
      <c r="H30" s="848"/>
      <c r="I30" s="848"/>
      <c r="J30" s="848"/>
      <c r="M30" s="420" t="s">
        <v>43</v>
      </c>
      <c r="N30" s="819" t="s">
        <v>43</v>
      </c>
      <c r="O30" s="818"/>
      <c r="P30" s="421"/>
    </row>
    <row r="31" spans="1:18" ht="16.5" customHeight="1" x14ac:dyDescent="0.25">
      <c r="B31" s="372" t="s">
        <v>122</v>
      </c>
      <c r="C31" s="382"/>
      <c r="D31" s="843"/>
      <c r="E31" s="843"/>
      <c r="F31" s="843"/>
      <c r="H31" s="374" t="s">
        <v>298</v>
      </c>
      <c r="I31" s="1307"/>
      <c r="J31" s="384"/>
      <c r="K31" s="315"/>
      <c r="M31" s="402" t="s">
        <v>167</v>
      </c>
      <c r="N31" s="423">
        <f>N58</f>
      </c>
      <c r="O31" s="424"/>
      <c r="P31" s="405">
        <v>265</v>
      </c>
    </row>
    <row r="32" spans="1:18" ht="16.5" customHeight="1" x14ac:dyDescent="0.25">
      <c r="B32" s="374" t="s">
        <v>6</v>
      </c>
      <c r="C32" s="417">
        <f>Tabelle1!$B$100</f>
      </c>
      <c r="D32" s="374" t="s">
        <v>16</v>
      </c>
      <c r="E32" s="1305"/>
      <c r="F32" s="844" t="s">
        <v>299</v>
      </c>
      <c r="G32" s="844"/>
      <c r="H32" s="388">
        <f>ROUND(C32-C32*E32/100,2)</f>
      </c>
      <c r="I32" s="388"/>
      <c r="J32" s="384"/>
      <c r="M32" s="402" t="s">
        <v>168</v>
      </c>
      <c r="N32" s="423">
        <f>N61</f>
      </c>
      <c r="O32" s="424"/>
      <c r="P32" s="405">
        <v>325</v>
      </c>
      <c r="Q32" s="372"/>
      <c r="R32" s="372"/>
    </row>
    <row r="33" spans="1:18" ht="16.5" customHeight="1" x14ac:dyDescent="0.25">
      <c r="B33" s="388"/>
      <c r="C33" s="1292">
        <f>$H$32</f>
      </c>
      <c r="D33" s="374" t="s">
        <v>16</v>
      </c>
      <c r="E33" s="418">
        <f>Tabelle1!$I$100</f>
      </c>
      <c r="F33" s="834" t="s">
        <v>300</v>
      </c>
      <c r="G33" s="834"/>
      <c r="H33" s="388">
        <f>ROUND(C33-C33*E33%,2)</f>
      </c>
      <c r="J33" s="384"/>
      <c r="M33" s="402" t="s">
        <v>169</v>
      </c>
      <c r="N33" s="423">
        <f>N62</f>
      </c>
      <c r="O33" s="424"/>
      <c r="P33" s="405">
        <v>420</v>
      </c>
      <c r="Q33" s="372"/>
      <c r="R33" s="372"/>
    </row>
    <row r="34" spans="1:18" ht="16.5" customHeight="1" thickBot="1" x14ac:dyDescent="0.3">
      <c r="C34" s="388">
        <f>$H$33</f>
      </c>
      <c r="D34" s="379" t="s">
        <v>18</v>
      </c>
      <c r="E34" s="1312">
        <f>$H$7/100</f>
      </c>
      <c r="F34" s="836" t="s">
        <v>436</v>
      </c>
      <c r="G34" s="836"/>
      <c r="H34" s="388">
        <f>ROUND(C34*E34,2)</f>
      </c>
      <c r="J34" s="384"/>
      <c r="M34" s="402" t="s">
        <v>167</v>
      </c>
      <c r="N34" s="423">
        <f>N63</f>
      </c>
      <c r="O34" s="424"/>
      <c r="P34" s="405">
        <v>265</v>
      </c>
      <c r="Q34" s="372"/>
      <c r="R34" s="372"/>
    </row>
    <row r="35" spans="1:18" ht="16.5" customHeight="1" thickBot="1" x14ac:dyDescent="0.3">
      <c r="A35" s="398"/>
      <c r="B35" s="372" t="s">
        <v>185</v>
      </c>
      <c r="C35" s="384">
        <f>$H$34</f>
      </c>
      <c r="D35" s="399" t="s">
        <v>9</v>
      </c>
      <c r="E35" s="384">
        <f>ROUND(A35*C35,2)</f>
      </c>
      <c r="F35" s="835"/>
      <c r="G35" s="835"/>
      <c r="H35" s="835"/>
      <c r="I35" s="378" t="s">
        <v>158</v>
      </c>
      <c r="J35" s="1318">
        <f>$B$30</f>
      </c>
      <c r="K35" s="401">
        <f>E35</f>
      </c>
      <c r="M35" s="419" t="s">
        <v>169</v>
      </c>
      <c r="N35" s="425">
        <f>N65</f>
      </c>
      <c r="O35" s="424"/>
      <c r="P35" s="405">
        <v>420</v>
      </c>
      <c r="Q35" s="407"/>
      <c r="R35" s="372"/>
    </row>
    <row r="36" spans="1:18" ht="16.5" customHeight="1" thickBot="1" x14ac:dyDescent="0.3">
      <c r="A36" s="406" t="s">
        <v>186</v>
      </c>
    </row>
    <row r="37" spans="1:18" ht="16.149999999999999" customHeight="1" thickBot="1" x14ac:dyDescent="0.3">
      <c r="A37" s="378" t="s">
        <v>5</v>
      </c>
      <c r="B37" s="1311">
        <f>B30</f>
      </c>
      <c r="C37" s="806" t="s">
        <v>631</v>
      </c>
      <c r="D37" s="806"/>
      <c r="E37" s="806"/>
      <c r="F37" s="806"/>
      <c r="G37" s="806"/>
      <c r="H37" s="806"/>
      <c r="I37" s="1317"/>
      <c r="J37" t="s">
        <v>79</v>
      </c>
    </row>
    <row r="38" spans="1:18" ht="16.149999999999999" customHeight="1" thickBot="1" x14ac:dyDescent="0.3">
      <c r="A38" s="378"/>
      <c r="B38" s="854" t="s">
        <v>633</v>
      </c>
      <c r="C38" s="806"/>
      <c r="D38" s="806"/>
      <c r="E38" s="806"/>
      <c r="F38" s="855"/>
      <c r="G38" s="855"/>
      <c r="H38"/>
      <c r="I38" s="695">
        <f>I19+I28+I37</f>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s">
        <v>362</v>
      </c>
      <c r="E40" s="834" t="s">
        <v>175</v>
      </c>
      <c r="F40" s="834"/>
      <c r="G40" s="398"/>
      <c r="H40" s="374" t="s">
        <v>183</v>
      </c>
      <c r="I40" s="505"/>
    </row>
    <row r="41" spans="1:18" ht="16.5" customHeight="1" x14ac:dyDescent="0.25">
      <c r="C41" s="372" t="s">
        <v>14</v>
      </c>
      <c r="D41" s="503"/>
      <c r="E41" s="372" t="s">
        <v>16</v>
      </c>
      <c r="F41" s="504">
        <v>0.1</v>
      </c>
      <c r="G41" s="374" t="s">
        <v>57</v>
      </c>
      <c r="H41" s="399" t="s">
        <v>9</v>
      </c>
      <c r="I41" s="426">
        <f>ROUND(D41-D41*F41,2)</f>
      </c>
      <c r="M41" s="331"/>
      <c r="N41" s="365"/>
      <c r="O41" s="331"/>
      <c r="P41" s="342"/>
    </row>
    <row r="42" spans="1:18" ht="16.5" customHeight="1" x14ac:dyDescent="0.25">
      <c r="C42" s="373">
        <f>I41</f>
      </c>
      <c r="D42" s="372" t="s">
        <v>16</v>
      </c>
      <c r="E42" s="372">
        <f>I40*G40</f>
      </c>
      <c r="F42" s="379" t="s">
        <v>188</v>
      </c>
      <c r="G42" s="379"/>
      <c r="H42" s="1313"/>
      <c r="I42" s="373">
        <f>IF(E42&gt;99,"abgeschrieben",ROUND(C42-C42*E42%,2))</f>
      </c>
    </row>
    <row r="43" spans="1:18" ht="16.5" customHeight="1" thickBot="1" x14ac:dyDescent="0.3">
      <c r="C43" s="373">
        <f>IF(I42="abgeschrieben",0,I42)</f>
      </c>
      <c r="D43" s="372" t="s">
        <v>18</v>
      </c>
      <c r="E43" s="1312">
        <f>$H$7/100</f>
      </c>
      <c r="F43" s="860" t="s">
        <v>13</v>
      </c>
      <c r="G43" s="860"/>
      <c r="H43" s="399" t="s">
        <v>9</v>
      </c>
      <c r="I43" s="373">
        <f>ROUND(C43*E43,2)</f>
      </c>
    </row>
    <row r="44" spans="1:18" ht="15.75" thickBot="1" x14ac:dyDescent="0.3">
      <c r="A44" s="372" t="s">
        <v>439</v>
      </c>
      <c r="F44" s="398"/>
      <c r="G44" s="372" t="s">
        <v>17</v>
      </c>
      <c r="H44" s="373">
        <f>I43</f>
      </c>
      <c r="I44" s="399" t="s">
        <v>440</v>
      </c>
      <c r="J44" s="1319">
        <f>$D$40</f>
      </c>
      <c r="K44" s="401">
        <f>ROUND(F44*H44,2)</f>
      </c>
      <c r="N44" s="428" t="s">
        <v>341</v>
      </c>
    </row>
    <row r="45" spans="1:18" ht="16.5" customHeight="1" x14ac:dyDescent="0.25">
      <c r="N45" s="429">
        <f>Tabelle1!J87</f>
      </c>
      <c r="P45" s="76" t="s">
        <v>327</v>
      </c>
      <c r="Q45" s="76"/>
      <c r="R45" s="76"/>
    </row>
    <row r="46" spans="1:18" x14ac:dyDescent="0.25">
      <c r="A46" s="430" t="s">
        <v>290</v>
      </c>
      <c r="B46" s="430"/>
      <c r="C46" s="430"/>
      <c r="F46" s="431"/>
      <c r="H46" s="374"/>
      <c r="I46" s="432"/>
      <c r="J46" s="431"/>
      <c r="N46" s="433">
        <f>Tabelle1!J88</f>
      </c>
      <c r="P46" s="76" t="s">
        <v>328</v>
      </c>
      <c r="Q46" s="76"/>
      <c r="R46" s="76">
        <v>3</v>
      </c>
    </row>
    <row r="47" spans="1:18" x14ac:dyDescent="0.25">
      <c r="A47" s="380" t="s">
        <v>5</v>
      </c>
      <c r="B47" s="381" t="s">
        <v>365</v>
      </c>
      <c r="E47" s="374" t="s">
        <v>4</v>
      </c>
      <c r="F47" s="372">
        <f>Tabelle1!$D$103</f>
      </c>
      <c r="G47" s="848" t="s">
        <v>294</v>
      </c>
      <c r="H47" s="848"/>
      <c r="I47" s="848"/>
      <c r="J47" s="434"/>
      <c r="N47" s="433">
        <f>Tabelle1!J89</f>
      </c>
      <c r="P47" s="76" t="s">
        <v>329</v>
      </c>
      <c r="Q47" s="76"/>
      <c r="R47" s="76">
        <v>4</v>
      </c>
    </row>
    <row r="48" spans="1:18" x14ac:dyDescent="0.25">
      <c r="B48" s="372" t="s">
        <v>122</v>
      </c>
      <c r="C48" s="382"/>
      <c r="D48" s="842"/>
      <c r="E48" s="843"/>
      <c r="F48" s="843"/>
      <c r="H48" s="374" t="s">
        <v>298</v>
      </c>
      <c r="I48" s="1307"/>
      <c r="J48" s="384"/>
      <c r="K48" s="315"/>
      <c r="N48" s="433">
        <f>Tabelle1!J90</f>
      </c>
      <c r="P48" s="76" t="s">
        <v>330</v>
      </c>
      <c r="Q48" s="76"/>
      <c r="R48" s="76">
        <v>5</v>
      </c>
    </row>
    <row r="49" spans="1:18" x14ac:dyDescent="0.25">
      <c r="B49" s="374" t="s">
        <v>6</v>
      </c>
      <c r="C49" s="386">
        <f>Tabelle1!$B$105</f>
      </c>
      <c r="D49" s="374" t="s">
        <v>16</v>
      </c>
      <c r="E49" s="1306"/>
      <c r="F49" s="844" t="s">
        <v>299</v>
      </c>
      <c r="G49" s="844"/>
      <c r="H49" s="388">
        <f>ROUND(C49-C49*E49/100,2)</f>
      </c>
      <c r="I49" s="388"/>
      <c r="J49" s="384"/>
      <c r="N49" s="433">
        <f>Tabelle1!J91</f>
      </c>
      <c r="P49" s="76" t="s">
        <v>331</v>
      </c>
      <c r="Q49" s="76"/>
      <c r="R49" s="76">
        <v>7</v>
      </c>
    </row>
    <row r="50" spans="1:18" x14ac:dyDescent="0.25">
      <c r="B50" s="388"/>
      <c r="C50" s="388">
        <f>H49</f>
      </c>
      <c r="D50" s="374" t="s">
        <v>16</v>
      </c>
      <c r="E50" s="418">
        <f>Tabelle1!$I$105</f>
      </c>
      <c r="F50" s="844" t="s">
        <v>300</v>
      </c>
      <c r="G50" s="844"/>
      <c r="H50" s="388">
        <f>ROUND(C50-C50*E50%,2)</f>
      </c>
      <c r="J50" s="384"/>
      <c r="N50" s="433">
        <f>Tabelle1!J92</f>
      </c>
      <c r="P50" s="76" t="s">
        <v>332</v>
      </c>
      <c r="Q50" s="76"/>
      <c r="R50" s="76">
        <v>10</v>
      </c>
    </row>
    <row r="51" spans="1:18" x14ac:dyDescent="0.25">
      <c r="C51" s="388">
        <f>H50</f>
      </c>
      <c r="D51" s="379" t="s">
        <v>18</v>
      </c>
      <c r="E51" s="1312">
        <f>$H$7/100</f>
      </c>
      <c r="F51" s="379" t="s">
        <v>436</v>
      </c>
      <c r="G51" s="379"/>
      <c r="H51" s="388">
        <f>ROUND(C51*E51,2)</f>
      </c>
      <c r="J51" s="384"/>
      <c r="N51" s="433">
        <f>Tabelle1!J93</f>
      </c>
    </row>
    <row r="52" spans="1:18" ht="15.75" thickBot="1" x14ac:dyDescent="0.3">
      <c r="A52" s="398"/>
      <c r="B52" s="372" t="s">
        <v>185</v>
      </c>
      <c r="C52" s="388">
        <f>$H$51</f>
      </c>
      <c r="D52" s="399" t="s">
        <v>9</v>
      </c>
      <c r="E52" s="384">
        <f>ROUND(A52*C52,2)</f>
      </c>
      <c r="F52" s="287"/>
      <c r="G52" s="287"/>
      <c r="H52" s="287"/>
      <c r="I52" s="378" t="s">
        <v>158</v>
      </c>
      <c r="J52" s="1293">
        <f>$B$47</f>
      </c>
      <c r="K52" s="384">
        <f>E52</f>
      </c>
      <c r="N52" s="433">
        <f>Tabelle1!J94</f>
      </c>
    </row>
    <row r="53" spans="1:18" ht="14.45" customHeight="1" thickBot="1" x14ac:dyDescent="0.3">
      <c r="A53" s="406" t="s">
        <v>186</v>
      </c>
      <c r="I53" s="372" t="s">
        <v>296</v>
      </c>
      <c r="J53" s="436"/>
      <c r="K53" s="437">
        <f>SUM(K14:K52)</f>
      </c>
      <c r="N53" s="438">
        <f>Tabelle1!J95</f>
      </c>
    </row>
    <row r="54" spans="1:18" x14ac:dyDescent="0.25">
      <c r="K54" s="1312" t="s">
        <v>561</v>
      </c>
      <c r="N54" s="438">
        <f>Tabelle1!J96</f>
      </c>
    </row>
    <row r="55" spans="1:18" ht="18.600000000000001" customHeight="1" x14ac:dyDescent="0.25">
      <c r="A55" s="566" t="s">
        <v>550</v>
      </c>
      <c r="B55" s="566"/>
      <c r="C55" s="566"/>
      <c r="D55" s="569"/>
      <c r="E55" s="478"/>
      <c r="F55" s="478"/>
      <c r="G55" s="478"/>
      <c r="H55" s="478"/>
      <c r="N55" s="438">
        <f>Tabelle1!J97</f>
      </c>
    </row>
    <row r="56" spans="1:18" x14ac:dyDescent="0.25">
      <c r="A56" s="849" t="s">
        <v>1</v>
      </c>
      <c r="B56" s="850"/>
      <c r="C56" s="850"/>
      <c r="D56" s="858">
        <f>Formalien!$E$3</f>
      </c>
      <c r="E56" s="859"/>
      <c r="F56" s="806"/>
      <c r="G56" s="806"/>
      <c r="H56" s="363" t="s">
        <v>3</v>
      </c>
      <c r="I56" s="369">
        <f>Formalien!$E$4</f>
      </c>
      <c r="J56" s="1"/>
      <c r="K56" s="1"/>
      <c r="N56" s="438"/>
    </row>
    <row r="57" spans="1:18" x14ac:dyDescent="0.25">
      <c r="A57" s="849" t="s">
        <v>65</v>
      </c>
      <c r="B57" s="795"/>
      <c r="C57" s="795"/>
      <c r="D57" s="366">
        <f>Formalien!$E$16</f>
      </c>
      <c r="E57" s="364" t="s">
        <v>61</v>
      </c>
      <c r="F57" s="365"/>
      <c r="G57" s="341"/>
      <c r="H57" s="341"/>
      <c r="I57" s="856"/>
      <c r="J57" s="806"/>
      <c r="K57" s="806"/>
      <c r="N57" s="438"/>
    </row>
    <row r="58" spans="1:18" x14ac:dyDescent="0.25">
      <c r="A58" s="849" t="s">
        <v>0</v>
      </c>
      <c r="B58" s="795"/>
      <c r="C58" s="795"/>
      <c r="D58" s="861">
        <f>Formalien!$E$6</f>
      </c>
      <c r="E58" s="806"/>
      <c r="F58" s="806"/>
      <c r="G58" s="806"/>
      <c r="H58" s="344"/>
      <c r="I58" s="345"/>
      <c r="J58" s="1"/>
      <c r="K58" s="1"/>
      <c r="N58" s="433">
        <f>Tabelle1!J98</f>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c>
      <c r="N61" s="433">
        <f>Tabelle1!J99</f>
      </c>
    </row>
    <row r="62" spans="1:18" x14ac:dyDescent="0.25">
      <c r="A62" s="830" t="s">
        <v>15</v>
      </c>
      <c r="B62" s="830"/>
      <c r="C62" s="830"/>
      <c r="D62" s="830"/>
      <c r="E62" s="378" t="s">
        <v>5</v>
      </c>
      <c r="F62" s="440" t="s">
        <v>363</v>
      </c>
      <c r="H62" s="374"/>
      <c r="J62"/>
      <c r="L62" s="1316" t="inlineStr">
        <is>
          <t>Hinweis: Beim Laubenvorplatz immer darauf achten, dass unter E63 bzw. B67 bei einem Anfall von a) oder b) beim anderen Bauteil 0 bzw. ohne (siehe Dropdown-Listen) eingetragen ist.</t>
        </is>
      </c>
      <c r="M62" s="829"/>
      <c r="N62" s="433">
        <f>Tabelle1!J100</f>
      </c>
    </row>
    <row r="63" spans="1:18" x14ac:dyDescent="0.25">
      <c r="A63" s="375" t="s">
        <v>142</v>
      </c>
      <c r="D63" s="372" t="s">
        <v>14</v>
      </c>
      <c r="E63" s="1304">
        <v>0</v>
      </c>
      <c r="F63" s="372" t="s">
        <v>16</v>
      </c>
      <c r="G63" s="442">
        <f>IF(E63&gt;0,E14,0)</f>
      </c>
      <c r="H63" s="374" t="s">
        <v>301</v>
      </c>
      <c r="I63" s="436">
        <f>ROUND(E63-E63*G63%,2)</f>
      </c>
      <c r="L63" s="829"/>
      <c r="M63" s="829"/>
      <c r="N63" s="433">
        <f>Tabelle1!J101</f>
      </c>
    </row>
    <row r="64" spans="1:18" x14ac:dyDescent="0.25">
      <c r="C64" s="1295">
        <f>I63</f>
      </c>
      <c r="D64" s="372" t="s">
        <v>16</v>
      </c>
      <c r="E64" s="372">
        <f>IF(C64&gt;0,E15,0)</f>
      </c>
      <c r="F64" s="844" t="s">
        <v>297</v>
      </c>
      <c r="G64" s="844"/>
      <c r="H64" s="844"/>
      <c r="I64" s="373">
        <f>ROUND(C64-C64*E64%,2)</f>
      </c>
      <c r="L64" s="829"/>
      <c r="M64" s="829"/>
      <c r="N64" s="433">
        <f>Tabelle1!J102</f>
      </c>
    </row>
    <row r="65" spans="1:15" ht="15" customHeight="1" x14ac:dyDescent="0.25">
      <c r="C65" s="443"/>
      <c r="F65" s="376"/>
      <c r="G65" s="376"/>
      <c r="H65" s="376"/>
      <c r="I65" s="373"/>
      <c r="L65" s="829"/>
      <c r="M65" s="829"/>
      <c r="N65" s="433">
        <f>Tabelle1!J103</f>
      </c>
    </row>
    <row r="66" spans="1:15" ht="15.75" thickBot="1" x14ac:dyDescent="0.3">
      <c r="A66" s="444" t="s">
        <v>143</v>
      </c>
      <c r="B66" s="287"/>
      <c r="C66" s="288" t="s">
        <v>140</v>
      </c>
      <c r="D66" s="288"/>
      <c r="E66" s="445"/>
      <c r="F66" s="835" t="s">
        <v>184</v>
      </c>
      <c r="G66" s="835"/>
      <c r="H66" s="445">
        <v>0</v>
      </c>
      <c r="I66" s="288" t="s">
        <v>211</v>
      </c>
      <c r="L66" s="829"/>
      <c r="M66" s="829"/>
      <c r="N66" s="446">
        <f>Tabelle1!J104</f>
      </c>
    </row>
    <row r="67" spans="1:15" x14ac:dyDescent="0.25">
      <c r="A67" s="444" t="s">
        <v>292</v>
      </c>
      <c r="B67" s="831" t="s">
        <v>302</v>
      </c>
      <c r="C67" s="831"/>
      <c r="D67" s="288" t="s">
        <v>14</v>
      </c>
      <c r="E67" s="447">
        <f>IF(B67=N67,O67,IF(B67=N68,O68,IF(B67=N70,O70)))</f>
      </c>
      <c r="F67" s="288" t="s">
        <v>16</v>
      </c>
      <c r="G67" s="448">
        <v>0</v>
      </c>
      <c r="H67" s="293" t="s">
        <v>141</v>
      </c>
      <c r="I67" s="449">
        <f>ROUND(E67-E67*G67,2)</f>
      </c>
      <c r="L67" s="829"/>
      <c r="M67" s="829"/>
      <c r="N67" s="450" t="s">
        <v>291</v>
      </c>
      <c r="O67" s="116">
        <v>175</v>
      </c>
    </row>
    <row r="68" spans="1:15" ht="15.75" thickBot="1" x14ac:dyDescent="0.3">
      <c r="A68" s="288"/>
      <c r="B68" s="288"/>
      <c r="C68" s="288"/>
      <c r="D68" s="451">
        <f>I67</f>
      </c>
      <c r="E68" s="288" t="s">
        <v>16</v>
      </c>
      <c r="F68" s="288"/>
      <c r="G68" s="1296">
        <f>MIN(100,E66*H66)</f>
      </c>
      <c r="H68" s="288" t="s">
        <v>342</v>
      </c>
      <c r="I68" s="449">
        <f>ROUND(D68-D68*G68%,2)</f>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c>
      <c r="D70" s="288"/>
      <c r="E70" s="288">
        <f>$H$7/100</f>
      </c>
      <c r="F70" s="453" t="s">
        <v>13</v>
      </c>
      <c r="G70" s="288"/>
      <c r="H70" s="454" t="s">
        <v>9</v>
      </c>
      <c r="I70" s="449">
        <f>ROUND(C70*E70,2)</f>
      </c>
      <c r="J70" s="455"/>
      <c r="L70" s="829"/>
      <c r="M70" s="829"/>
      <c r="N70" s="456" t="s">
        <v>302</v>
      </c>
    </row>
    <row r="71" spans="1:15" x14ac:dyDescent="0.25">
      <c r="A71" s="288" t="s">
        <v>442</v>
      </c>
      <c r="B71" s="288"/>
      <c r="C71" s="288"/>
      <c r="D71" s="288"/>
      <c r="E71" s="288"/>
      <c r="F71" s="445">
        <v>0</v>
      </c>
      <c r="G71" s="288" t="s">
        <v>17</v>
      </c>
      <c r="H71" s="451">
        <f>I70</f>
      </c>
      <c r="I71" s="457" t="s">
        <v>9</v>
      </c>
      <c r="K71" s="458">
        <f>ROUND(F71*H71,2)</f>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1297">
        <f>(1-0.97^C74)*100</f>
      </c>
      <c r="D75" s="836" t="s">
        <v>303</v>
      </c>
      <c r="E75" s="836"/>
      <c r="F75" s="845">
        <f>ROUND(F74-F74*C75/100,2)</f>
      </c>
      <c r="G75" s="845"/>
      <c r="H75" s="407" t="s">
        <v>49</v>
      </c>
      <c r="I75" s="461"/>
      <c r="J75" s="372" t="s">
        <v>26</v>
      </c>
      <c r="K75" s="458">
        <f>IF(E76 ="fehlt",0,ROUND(F75*I75,2))</f>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130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1299">
        <f>IF(G78="",0,MIN(2200,C79))</f>
      </c>
      <c r="F79" s="372" t="s">
        <v>181</v>
      </c>
      <c r="H79" s="1298">
        <f>1-0.97^G78</f>
      </c>
      <c r="I79" s="372" t="s">
        <v>182</v>
      </c>
      <c r="J79" s="399" t="s">
        <v>9</v>
      </c>
      <c r="K79" s="1300">
        <f>ROUND(E79-E79*H79,2)</f>
      </c>
      <c r="N79" s="1314"/>
    </row>
    <row r="80" spans="1:15" ht="15.75" thickBot="1" x14ac:dyDescent="0.3">
      <c r="A80"/>
      <c r="B80"/>
      <c r="C80"/>
      <c r="D80"/>
      <c r="E80"/>
      <c r="F80"/>
      <c r="G80"/>
      <c r="H80"/>
      <c r="I80"/>
      <c r="J80"/>
      <c r="K80" s="459"/>
      <c r="N80" s="1315"/>
    </row>
    <row r="81" spans="1:11" ht="16.5" thickTop="1" thickBot="1" x14ac:dyDescent="0.3">
      <c r="A81" s="846" t="s">
        <v>33</v>
      </c>
      <c r="B81" s="846"/>
      <c r="C81" s="846"/>
      <c r="D81" s="846"/>
      <c r="E81" s="846"/>
      <c r="F81" s="846"/>
      <c r="G81" s="846"/>
      <c r="H81" s="846"/>
      <c r="I81" s="846"/>
      <c r="J81" s="847"/>
      <c r="K81" s="1294">
        <f>K61+K71+K75+K77+K79</f>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1320">
        <f>A17+A26+A35+A52+F71</f>
      </c>
      <c r="G101" s="806"/>
      <c r="H101" s="609" t="s">
        <v>79</v>
      </c>
      <c r="I101" s="376"/>
      <c r="J101" s="376"/>
    </row>
    <row r="102" spans="1:15" ht="19.899999999999999" customHeight="1" thickBot="1" x14ac:dyDescent="0.3">
      <c r="A102" s="603">
        <f>IF(E76=("fehlt"),("Genehmigte Abwassersammelgrube ohne Bewertung, da ein zeitnahes Dichtigkeitsgutachten fehlt, siehe auch Anlage IV, Blatt 3."),("."))</f>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1308"/>
      <c r="G104" s="1309"/>
      <c r="H104" s="612">
        <f>SUM(F104*G104)</f>
      </c>
      <c r="J104" s="594"/>
      <c r="M104" s="820" t="s">
        <v>304</v>
      </c>
      <c r="N104" s="821"/>
      <c r="O104" s="822"/>
    </row>
    <row r="105" spans="1:15" ht="19.899999999999999" customHeight="1" thickBot="1" x14ac:dyDescent="0.3">
      <c r="A105" s="375" t="s">
        <v>609</v>
      </c>
      <c r="B105" s="790" t="s">
        <v>634</v>
      </c>
      <c r="C105" s="790"/>
      <c r="D105" s="790"/>
      <c r="E105" s="790"/>
      <c r="F105" s="704"/>
      <c r="G105" s="705"/>
      <c r="H105" s="1321">
        <f>-K77</f>
      </c>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c>
      <c r="D108" s="841"/>
      <c r="E108" s="372" t="s">
        <v>121</v>
      </c>
      <c r="F108" s="851">
        <f>Formalien!$E$12</f>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16">
    <dataValidation type="date" operator="greaterThan" allowBlank="1" showInputMessage="1" showErrorMessage="1" sqref="D76" xr:uid="{00000000-0002-0000-0200-000001000000}">
      <formula1>7306</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 type="decimal" operator="between" allowBlank="1" showInputMessage="1" showErrorMessage="1" errorTitle="Eingabeprüfung" error="Bitte eine Zahl zwischen -150 und 0 eingeben." sqref="K77">
      <formula1>-150</formula1>
      <formula2>0</formula2>
    </dataValidation>
    <dataValidation type="decimal" operator="between" allowBlank="1" showInputMessage="1" showErrorMessage="1" errorTitle="Eingabeprüfung" error="Bitte eine Zahl zwischen 0 und 275 eingeben." sqref="E63">
      <formula1>0</formula1>
      <formula2>275</formula2>
    </dataValidation>
    <dataValidation type="decimal" operator="between" allowBlank="1" showInputMessage="1" showErrorMessage="1" errorTitle="Eingabeprüfung" error="Bitte eine Zahl zwischen 0 und 100 eingeben." sqref="E14">
      <formula1>0</formula1>
      <formula2>100</formula2>
    </dataValidation>
    <dataValidation type="decimal" operator="between" allowBlank="1" showInputMessage="1" showErrorMessage="1" errorTitle="Eingabeprüfung" error="Bitte eine Zahl zwischen 0 und 100 eingeben." sqref="E23">
      <formula1>0</formula1>
      <formula2>100</formula2>
    </dataValidation>
    <dataValidation type="decimal" operator="between" allowBlank="1" showInputMessage="1" showErrorMessage="1" errorTitle="Eingabeprüfung" error="Bitte eine Zahl zwischen 0 und 100 eingeben." sqref="E32">
      <formula1>0</formula1>
      <formula2>100</formula2>
    </dataValidation>
    <dataValidation type="decimal" operator="between" allowBlank="1" showInputMessage="1" showErrorMessage="1" errorTitle="Eingabeprüfung" error="Bitte eine Zahl zwischen 0 und 100 eingeben." sqref="E49">
      <formula1>0</formula1>
      <formula2>100</formula2>
    </dataValidation>
    <dataValidation type="whole" operator="between" allowBlank="1" showInputMessage="1" showErrorMessage="1" errorTitle="Eingabeprüfung" error="Bitte eine ganze Zahl zwischen 0 und 80 eingeben." sqref="I13">
      <formula1>0</formula1>
      <formula2>80</formula2>
    </dataValidation>
    <dataValidation type="whole" operator="between" allowBlank="1" showInputMessage="1" showErrorMessage="1" errorTitle="Eingabeprüfung" error="Bitte eine ganze Zahl zwischen 0 und 80 eingeben." sqref="I22">
      <formula1>0</formula1>
      <formula2>80</formula2>
    </dataValidation>
    <dataValidation type="whole" operator="between" allowBlank="1" showInputMessage="1" showErrorMessage="1" errorTitle="Eingabeprüfung" error="Bitte eine ganze Zahl zwischen 0 und 80 eingeben." sqref="I31">
      <formula1>0</formula1>
      <formula2>80</formula2>
    </dataValidation>
    <dataValidation type="whole" operator="between" allowBlank="1" showInputMessage="1" showErrorMessage="1" errorTitle="Eingabeprüfung" error="Bitte eine ganze Zahl zwischen 0 und 80 eingeben." sqref="I48">
      <formula1>0</formula1>
      <formula2>80</formula2>
    </dataValidation>
  </dataValidations>
  <pageMargins left="0.78740157480314965" right="0.19685039370078741" top="0.78740157480314965" bottom="0.78740157480314965" header="0.31496062992125984" footer="0.31496062992125984"/>
  <pageSetup paperSize="9" scale="82"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f>"Kleingartenanlage: "&amp;Formalien!$E$3</f>
      </c>
      <c r="B1" s="916"/>
      <c r="C1" s="916"/>
      <c r="D1" s="554" t="s">
        <v>519</v>
      </c>
      <c r="E1" s="1388">
        <f>Formalien!$E$4</f>
      </c>
      <c r="F1" s="914"/>
    </row>
    <row r="2" spans="1:8" ht="15.75" thickBot="1" x14ac:dyDescent="0.3">
      <c r="A2" s="555" t="s">
        <v>176</v>
      </c>
      <c r="B2" s="80"/>
      <c r="C2" s="80"/>
      <c r="D2" s="80"/>
      <c r="E2" s="1389">
        <f>Formalien!$E$5</f>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1390"/>
    </row>
    <row r="6" spans="1:8" x14ac:dyDescent="0.25">
      <c r="A6" s="897"/>
      <c r="C6" s="510" t="s">
        <v>223</v>
      </c>
      <c r="D6" s="1383" t="inlineStr">
        <is>
          <t>Dach nicht horizontal</t>
        </is>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1383" t="inlineStr">
        <is>
          <t>Schornstein fehlerhaft</t>
        </is>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1391"/>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1391"/>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1386" t="inlineStr">
        <is>
          <t>Wände nicht lotrecht</t>
        </is>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1391"/>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1391"/>
    </row>
    <row r="25" spans="1:6" x14ac:dyDescent="0.25">
      <c r="A25" s="897"/>
      <c r="C25" s="510" t="s">
        <v>258</v>
      </c>
      <c r="D25" s="511" t="s">
        <v>257</v>
      </c>
      <c r="E25" s="902"/>
      <c r="F25" s="895"/>
    </row>
    <row r="26" spans="1:6" x14ac:dyDescent="0.25">
      <c r="A26" s="897"/>
      <c r="C26" s="510" t="s">
        <v>259</v>
      </c>
      <c r="D26" s="1383" t="inlineStr">
        <is>
          <t>nicht maßgerecht</t>
        </is>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1392"/>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1393"/>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1384" t="inlineStr">
        <is>
          <t>Fenster - Glasdichtung fehlerhaft (Kitt)</t>
        </is>
      </c>
      <c r="D34" s="532" t="s">
        <v>269</v>
      </c>
      <c r="E34" s="873">
        <v>0.05</v>
      </c>
      <c r="F34" s="1391"/>
    </row>
    <row r="35" spans="1:7" x14ac:dyDescent="0.25">
      <c r="A35" s="897"/>
      <c r="C35" s="525" t="s">
        <v>271</v>
      </c>
      <c r="D35" s="526" t="s">
        <v>272</v>
      </c>
      <c r="E35" s="902"/>
      <c r="F35" s="895"/>
    </row>
    <row r="36" spans="1:7" x14ac:dyDescent="0.25">
      <c r="A36" s="897"/>
      <c r="C36" s="1385" t="inlineStr">
        <is>
          <t>Fensterläden nicht ordnungsgemäß</t>
        </is>
      </c>
      <c r="D36" s="526" t="s">
        <v>274</v>
      </c>
      <c r="E36" s="902"/>
      <c r="F36" s="895"/>
    </row>
    <row r="37" spans="1:7" x14ac:dyDescent="0.25">
      <c r="A37" s="897"/>
      <c r="C37" s="525" t="s">
        <v>275</v>
      </c>
      <c r="D37" s="526" t="s">
        <v>276</v>
      </c>
      <c r="E37" s="902"/>
      <c r="F37" s="895"/>
    </row>
    <row r="38" spans="1:7" x14ac:dyDescent="0.25">
      <c r="A38" s="897"/>
      <c r="C38" s="1385" t="inlineStr">
        <is>
          <t>Tür undicht</t>
        </is>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1391"/>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1394"/>
    </row>
    <row r="43" spans="1:7" ht="14.45" customHeight="1" thickBot="1" x14ac:dyDescent="0.3">
      <c r="A43" s="882" t="s">
        <v>134</v>
      </c>
      <c r="B43" s="883"/>
      <c r="C43" s="87"/>
      <c r="D43" s="82"/>
      <c r="E43" s="531">
        <v>0.1</v>
      </c>
      <c r="F43" s="1394"/>
    </row>
    <row r="44" spans="1:7" ht="39.75" customHeight="1" thickBot="1" x14ac:dyDescent="0.3">
      <c r="A44" s="877" t="s">
        <v>627</v>
      </c>
      <c r="B44" s="878"/>
      <c r="C44" s="878"/>
      <c r="D44" s="878"/>
      <c r="E44" s="557" t="s">
        <v>289</v>
      </c>
      <c r="F44" s="1395"/>
    </row>
    <row r="45" spans="1:7" ht="15.75" thickBot="1" x14ac:dyDescent="0.3">
      <c r="A45" s="879" t="s">
        <v>353</v>
      </c>
      <c r="B45" s="879"/>
      <c r="C45" s="879"/>
      <c r="D45" s="879"/>
      <c r="F45" s="556"/>
    </row>
    <row r="46" spans="1:7" ht="15.75" thickBot="1" x14ac:dyDescent="0.3">
      <c r="A46" s="168"/>
      <c r="B46" s="168"/>
      <c r="C46" s="168"/>
      <c r="E46" s="79" t="s">
        <v>288</v>
      </c>
      <c r="F46" s="1396">
        <f>SUM(F2:F45)</f>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c>
      <c r="E2" s="795"/>
      <c r="F2" s="795"/>
      <c r="G2" s="795"/>
      <c r="K2" s="364" t="s">
        <v>519</v>
      </c>
      <c r="L2" s="619">
        <f>Formalien!$E$4</f>
      </c>
    </row>
    <row r="3" spans="1:22" s="331" customFormat="1" ht="15.6" customHeight="1" x14ac:dyDescent="0.25">
      <c r="A3" s="364" t="s">
        <v>65</v>
      </c>
      <c r="B3" s="371"/>
      <c r="C3" s="371"/>
      <c r="D3" s="371"/>
      <c r="E3" s="537">
        <f>Formalien!$E$16</f>
      </c>
      <c r="F3" s="927" t="s">
        <v>557</v>
      </c>
      <c r="G3" s="928"/>
      <c r="H3" s="928"/>
      <c r="I3" s="928"/>
      <c r="J3" s="1329">
        <f>MAX(0,ROUND((E3-24)/100*6,2))</f>
      </c>
      <c r="K3" s="338" t="s">
        <v>79</v>
      </c>
    </row>
    <row r="4" spans="1:22" s="331" customFormat="1" ht="15.6" customHeight="1" x14ac:dyDescent="0.25">
      <c r="A4" s="364" t="s">
        <v>0</v>
      </c>
      <c r="B4" s="371"/>
      <c r="C4" s="371"/>
      <c r="D4" s="371"/>
      <c r="E4" s="930">
        <f>Formalien!$E$6</f>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1375"/>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1376"/>
      <c r="C15" s="1378"/>
      <c r="D15" s="955"/>
      <c r="E15" s="955"/>
      <c r="F15" s="955"/>
      <c r="G15" s="955"/>
      <c r="H15" s="955"/>
      <c r="I15" s="955"/>
      <c r="J15" s="955"/>
      <c r="K15" s="667"/>
      <c r="L15" s="668">
        <f t="shared" ref="L15:L45" si="0">ROUND(A15*K15,2)</f>
      </c>
      <c r="Q15" s="469"/>
      <c r="R15" s="470"/>
      <c r="S15" s="470"/>
      <c r="T15" s="470"/>
      <c r="U15" s="471"/>
      <c r="V15" s="471"/>
    </row>
    <row r="16" spans="1:22" s="367" customFormat="1" ht="18" customHeight="1" x14ac:dyDescent="0.25">
      <c r="A16" s="582"/>
      <c r="B16" s="1377"/>
      <c r="C16" s="1379"/>
      <c r="D16" s="920"/>
      <c r="E16" s="920"/>
      <c r="F16" s="920"/>
      <c r="G16" s="920"/>
      <c r="H16" s="920"/>
      <c r="I16" s="920"/>
      <c r="J16" s="920"/>
      <c r="K16" s="669"/>
      <c r="L16" s="670">
        <f t="shared" si="0"/>
      </c>
      <c r="Q16" s="469"/>
      <c r="R16" s="470"/>
      <c r="S16" s="470"/>
      <c r="T16" s="470"/>
      <c r="U16" s="472"/>
      <c r="V16" s="472"/>
    </row>
    <row r="17" spans="1:22" s="367" customFormat="1" ht="18" customHeight="1" x14ac:dyDescent="0.25">
      <c r="A17" s="582"/>
      <c r="B17" s="1377"/>
      <c r="C17" s="1379"/>
      <c r="D17" s="920"/>
      <c r="E17" s="920"/>
      <c r="F17" s="920"/>
      <c r="G17" s="920"/>
      <c r="H17" s="920"/>
      <c r="I17" s="920"/>
      <c r="J17" s="920"/>
      <c r="K17" s="669"/>
      <c r="L17" s="670">
        <f t="shared" si="0"/>
      </c>
      <c r="Q17" s="469"/>
      <c r="R17" s="469"/>
      <c r="T17" s="472"/>
      <c r="U17" s="472"/>
      <c r="V17" s="472"/>
    </row>
    <row r="18" spans="1:22" s="367" customFormat="1" ht="18" customHeight="1" x14ac:dyDescent="0.25">
      <c r="A18" s="582"/>
      <c r="B18" s="1377"/>
      <c r="C18" s="1379"/>
      <c r="D18" s="920"/>
      <c r="E18" s="920"/>
      <c r="F18" s="920"/>
      <c r="G18" s="920"/>
      <c r="H18" s="920"/>
      <c r="I18" s="920"/>
      <c r="J18" s="920"/>
      <c r="K18" s="669"/>
      <c r="L18" s="670">
        <f t="shared" si="0"/>
      </c>
      <c r="T18" s="472"/>
      <c r="U18" s="472"/>
      <c r="V18" s="472"/>
    </row>
    <row r="19" spans="1:22" s="367" customFormat="1" ht="18" customHeight="1" x14ac:dyDescent="0.25">
      <c r="A19" s="582"/>
      <c r="B19" s="575"/>
      <c r="C19" s="1379"/>
      <c r="D19" s="920"/>
      <c r="E19" s="920"/>
      <c r="F19" s="920"/>
      <c r="G19" s="920"/>
      <c r="H19" s="920"/>
      <c r="I19" s="920"/>
      <c r="J19" s="920"/>
      <c r="K19" s="669"/>
      <c r="L19" s="670">
        <f t="shared" si="0"/>
      </c>
    </row>
    <row r="20" spans="1:22" s="367" customFormat="1" ht="18" customHeight="1" x14ac:dyDescent="0.25">
      <c r="A20" s="582"/>
      <c r="B20" s="575"/>
      <c r="C20" s="1379"/>
      <c r="D20" s="920"/>
      <c r="E20" s="920"/>
      <c r="F20" s="920"/>
      <c r="G20" s="920"/>
      <c r="H20" s="920"/>
      <c r="I20" s="920"/>
      <c r="J20" s="920"/>
      <c r="K20" s="669"/>
      <c r="L20" s="670">
        <f t="shared" si="0"/>
      </c>
    </row>
    <row r="21" spans="1:22" s="367" customFormat="1" ht="18" customHeight="1" x14ac:dyDescent="0.25">
      <c r="A21" s="582"/>
      <c r="B21" s="575"/>
      <c r="C21" s="1379"/>
      <c r="D21" s="920"/>
      <c r="E21" s="920"/>
      <c r="F21" s="920"/>
      <c r="G21" s="920"/>
      <c r="H21" s="920"/>
      <c r="I21" s="920"/>
      <c r="J21" s="920"/>
      <c r="K21" s="669"/>
      <c r="L21" s="670">
        <f t="shared" si="0"/>
      </c>
    </row>
    <row r="22" spans="1:22" s="367" customFormat="1" ht="18" customHeight="1" x14ac:dyDescent="0.25">
      <c r="A22" s="582"/>
      <c r="B22" s="575"/>
      <c r="C22" s="1379"/>
      <c r="D22" s="920"/>
      <c r="E22" s="920"/>
      <c r="F22" s="920"/>
      <c r="G22" s="920"/>
      <c r="H22" s="920"/>
      <c r="I22" s="920"/>
      <c r="J22" s="920"/>
      <c r="K22" s="669"/>
      <c r="L22" s="670">
        <f t="shared" si="0"/>
      </c>
    </row>
    <row r="23" spans="1:22" s="473" customFormat="1" ht="18" customHeight="1" x14ac:dyDescent="0.25">
      <c r="A23" s="582"/>
      <c r="B23" s="574"/>
      <c r="C23" s="1379"/>
      <c r="D23" s="920"/>
      <c r="E23" s="920"/>
      <c r="F23" s="920"/>
      <c r="G23" s="920"/>
      <c r="H23" s="920"/>
      <c r="I23" s="920"/>
      <c r="J23" s="920"/>
      <c r="K23" s="669"/>
      <c r="L23" s="670">
        <f t="shared" si="0"/>
      </c>
      <c r="O23" s="367"/>
    </row>
    <row r="24" spans="1:22" ht="18" customHeight="1" x14ac:dyDescent="0.25">
      <c r="A24" s="582"/>
      <c r="B24" s="574"/>
      <c r="C24" s="1379"/>
      <c r="D24" s="920"/>
      <c r="E24" s="920"/>
      <c r="F24" s="920"/>
      <c r="G24" s="920"/>
      <c r="H24" s="920"/>
      <c r="I24" s="920"/>
      <c r="J24" s="920"/>
      <c r="K24" s="669"/>
      <c r="L24" s="670">
        <f t="shared" si="0"/>
      </c>
      <c r="O24" s="367"/>
    </row>
    <row r="25" spans="1:22" s="367" customFormat="1" ht="18" customHeight="1" x14ac:dyDescent="0.25">
      <c r="A25" s="582"/>
      <c r="B25" s="574"/>
      <c r="C25" s="1379"/>
      <c r="D25" s="920"/>
      <c r="E25" s="920"/>
      <c r="F25" s="920"/>
      <c r="G25" s="920"/>
      <c r="H25" s="920"/>
      <c r="I25" s="920"/>
      <c r="J25" s="920"/>
      <c r="K25" s="669"/>
      <c r="L25" s="670">
        <f t="shared" si="0"/>
      </c>
    </row>
    <row r="26" spans="1:22" s="367" customFormat="1" ht="18" customHeight="1" x14ac:dyDescent="0.25">
      <c r="A26" s="582"/>
      <c r="B26" s="574"/>
      <c r="C26" s="1379"/>
      <c r="D26" s="920"/>
      <c r="E26" s="920"/>
      <c r="F26" s="920"/>
      <c r="G26" s="920"/>
      <c r="H26" s="920"/>
      <c r="I26" s="920"/>
      <c r="J26" s="920"/>
      <c r="K26" s="669"/>
      <c r="L26" s="670">
        <f t="shared" si="0"/>
      </c>
    </row>
    <row r="27" spans="1:22" s="367" customFormat="1" ht="18" customHeight="1" x14ac:dyDescent="0.25">
      <c r="A27" s="582"/>
      <c r="B27" s="574"/>
      <c r="C27" s="1379"/>
      <c r="D27" s="920"/>
      <c r="E27" s="920"/>
      <c r="F27" s="920"/>
      <c r="G27" s="920"/>
      <c r="H27" s="920"/>
      <c r="I27" s="920"/>
      <c r="J27" s="920"/>
      <c r="K27" s="669"/>
      <c r="L27" s="670">
        <f t="shared" si="0"/>
      </c>
    </row>
    <row r="28" spans="1:22" s="367" customFormat="1" ht="18" customHeight="1" x14ac:dyDescent="0.25">
      <c r="A28" s="582"/>
      <c r="B28" s="574"/>
      <c r="C28" s="1379"/>
      <c r="D28" s="920"/>
      <c r="E28" s="920"/>
      <c r="F28" s="920"/>
      <c r="G28" s="920"/>
      <c r="H28" s="920"/>
      <c r="I28" s="920"/>
      <c r="J28" s="920"/>
      <c r="K28" s="669"/>
      <c r="L28" s="670">
        <f t="shared" si="0"/>
      </c>
    </row>
    <row r="29" spans="1:22" s="475" customFormat="1" ht="18" customHeight="1" x14ac:dyDescent="0.25">
      <c r="A29" s="582"/>
      <c r="B29" s="574"/>
      <c r="C29" s="1379"/>
      <c r="D29" s="920"/>
      <c r="E29" s="920"/>
      <c r="F29" s="920"/>
      <c r="G29" s="920"/>
      <c r="H29" s="920"/>
      <c r="I29" s="920"/>
      <c r="J29" s="920"/>
      <c r="K29" s="669"/>
      <c r="L29" s="670">
        <f t="shared" si="0"/>
      </c>
      <c r="O29" s="367"/>
    </row>
    <row r="30" spans="1:22" s="367" customFormat="1" ht="18" customHeight="1" x14ac:dyDescent="0.25">
      <c r="A30" s="582"/>
      <c r="B30" s="574"/>
      <c r="C30" s="1379"/>
      <c r="D30" s="920"/>
      <c r="E30" s="920"/>
      <c r="F30" s="920"/>
      <c r="G30" s="920"/>
      <c r="H30" s="920"/>
      <c r="I30" s="920"/>
      <c r="J30" s="920"/>
      <c r="K30" s="669"/>
      <c r="L30" s="670">
        <f t="shared" si="0"/>
      </c>
    </row>
    <row r="31" spans="1:22" s="367" customFormat="1" ht="18" customHeight="1" x14ac:dyDescent="0.25">
      <c r="A31" s="582"/>
      <c r="B31" s="574"/>
      <c r="C31" s="1379"/>
      <c r="D31" s="920"/>
      <c r="E31" s="920"/>
      <c r="F31" s="920"/>
      <c r="G31" s="920"/>
      <c r="H31" s="920"/>
      <c r="I31" s="920"/>
      <c r="J31" s="920"/>
      <c r="K31" s="669"/>
      <c r="L31" s="670">
        <f t="shared" si="0"/>
      </c>
    </row>
    <row r="32" spans="1:22" ht="18" customHeight="1" x14ac:dyDescent="0.25">
      <c r="A32" s="582"/>
      <c r="B32" s="574"/>
      <c r="C32" s="1379"/>
      <c r="D32" s="920"/>
      <c r="E32" s="920"/>
      <c r="F32" s="920"/>
      <c r="G32" s="920"/>
      <c r="H32" s="920"/>
      <c r="I32" s="920"/>
      <c r="J32" s="920"/>
      <c r="K32" s="669"/>
      <c r="L32" s="670">
        <f t="shared" si="0"/>
      </c>
      <c r="O32" s="367"/>
    </row>
    <row r="33" spans="1:12" s="367" customFormat="1" ht="18" customHeight="1" x14ac:dyDescent="0.25">
      <c r="A33" s="582"/>
      <c r="B33" s="575"/>
      <c r="C33" s="1379"/>
      <c r="D33" s="920"/>
      <c r="E33" s="920"/>
      <c r="F33" s="920"/>
      <c r="G33" s="920"/>
      <c r="H33" s="920"/>
      <c r="I33" s="920"/>
      <c r="J33" s="920"/>
      <c r="K33" s="669"/>
      <c r="L33" s="670">
        <f t="shared" si="0"/>
      </c>
    </row>
    <row r="34" spans="1:12" s="367" customFormat="1" ht="18" customHeight="1" x14ac:dyDescent="0.25">
      <c r="A34" s="582"/>
      <c r="B34" s="575"/>
      <c r="C34" s="1379"/>
      <c r="D34" s="920"/>
      <c r="E34" s="920"/>
      <c r="F34" s="920"/>
      <c r="G34" s="920"/>
      <c r="H34" s="920"/>
      <c r="I34" s="920"/>
      <c r="J34" s="920"/>
      <c r="K34" s="669"/>
      <c r="L34" s="670">
        <f t="shared" si="0"/>
      </c>
    </row>
    <row r="35" spans="1:12" s="367" customFormat="1" ht="18" customHeight="1" x14ac:dyDescent="0.25">
      <c r="A35" s="582"/>
      <c r="B35" s="575"/>
      <c r="C35" s="1379"/>
      <c r="D35" s="920"/>
      <c r="E35" s="920"/>
      <c r="F35" s="920"/>
      <c r="G35" s="920"/>
      <c r="H35" s="920"/>
      <c r="I35" s="920"/>
      <c r="J35" s="920"/>
      <c r="K35" s="669"/>
      <c r="L35" s="670">
        <f t="shared" si="0"/>
      </c>
    </row>
    <row r="36" spans="1:12" s="367" customFormat="1" ht="18" customHeight="1" x14ac:dyDescent="0.25">
      <c r="A36" s="582"/>
      <c r="B36" s="575"/>
      <c r="C36" s="1379"/>
      <c r="D36" s="920"/>
      <c r="E36" s="920"/>
      <c r="F36" s="920"/>
      <c r="G36" s="920"/>
      <c r="H36" s="920"/>
      <c r="I36" s="920"/>
      <c r="J36" s="920"/>
      <c r="K36" s="669"/>
      <c r="L36" s="670">
        <f t="shared" si="0"/>
      </c>
    </row>
    <row r="37" spans="1:12" s="367" customFormat="1" ht="18" customHeight="1" x14ac:dyDescent="0.25">
      <c r="A37" s="582"/>
      <c r="B37" s="575"/>
      <c r="C37" s="1379"/>
      <c r="D37" s="920"/>
      <c r="E37" s="920"/>
      <c r="F37" s="920"/>
      <c r="G37" s="920"/>
      <c r="H37" s="920"/>
      <c r="I37" s="920"/>
      <c r="J37" s="920"/>
      <c r="K37" s="669"/>
      <c r="L37" s="670">
        <f t="shared" si="0"/>
      </c>
    </row>
    <row r="38" spans="1:12" s="367" customFormat="1" ht="18" customHeight="1" x14ac:dyDescent="0.25">
      <c r="A38" s="582"/>
      <c r="B38" s="575"/>
      <c r="C38" s="1379"/>
      <c r="D38" s="920"/>
      <c r="E38" s="920"/>
      <c r="F38" s="920"/>
      <c r="G38" s="920"/>
      <c r="H38" s="920"/>
      <c r="I38" s="920"/>
      <c r="J38" s="920"/>
      <c r="K38" s="669"/>
      <c r="L38" s="670">
        <f t="shared" si="0"/>
      </c>
    </row>
    <row r="39" spans="1:12" s="367" customFormat="1" ht="18" customHeight="1" x14ac:dyDescent="0.25">
      <c r="A39" s="582"/>
      <c r="B39" s="575"/>
      <c r="C39" s="1379"/>
      <c r="D39" s="920"/>
      <c r="E39" s="920"/>
      <c r="F39" s="920"/>
      <c r="G39" s="920"/>
      <c r="H39" s="920"/>
      <c r="I39" s="920"/>
      <c r="J39" s="920"/>
      <c r="K39" s="669"/>
      <c r="L39" s="670">
        <f t="shared" si="0"/>
      </c>
    </row>
    <row r="40" spans="1:12" s="367" customFormat="1" ht="18" customHeight="1" x14ac:dyDescent="0.25">
      <c r="A40" s="582"/>
      <c r="B40" s="575"/>
      <c r="C40" s="1380"/>
      <c r="D40" s="925"/>
      <c r="E40" s="925"/>
      <c r="F40" s="925"/>
      <c r="G40" s="925"/>
      <c r="H40" s="925"/>
      <c r="I40" s="925"/>
      <c r="J40" s="926"/>
      <c r="K40" s="669"/>
      <c r="L40" s="670">
        <f t="shared" si="0"/>
      </c>
    </row>
    <row r="41" spans="1:12" s="367" customFormat="1" ht="18" customHeight="1" x14ac:dyDescent="0.25">
      <c r="A41" s="582"/>
      <c r="B41" s="575"/>
      <c r="C41" s="1380"/>
      <c r="D41" s="925"/>
      <c r="E41" s="925"/>
      <c r="F41" s="925"/>
      <c r="G41" s="925"/>
      <c r="H41" s="925"/>
      <c r="I41" s="925"/>
      <c r="J41" s="926"/>
      <c r="K41" s="669"/>
      <c r="L41" s="670">
        <f t="shared" si="0"/>
      </c>
    </row>
    <row r="42" spans="1:12" s="367" customFormat="1" ht="18" customHeight="1" x14ac:dyDescent="0.25">
      <c r="A42" s="582"/>
      <c r="B42" s="575"/>
      <c r="C42" s="1380"/>
      <c r="D42" s="925"/>
      <c r="E42" s="925"/>
      <c r="F42" s="925"/>
      <c r="G42" s="925"/>
      <c r="H42" s="925"/>
      <c r="I42" s="925"/>
      <c r="J42" s="926"/>
      <c r="K42" s="669"/>
      <c r="L42" s="670">
        <f t="shared" si="0"/>
      </c>
    </row>
    <row r="43" spans="1:12" s="367" customFormat="1" ht="18" customHeight="1" x14ac:dyDescent="0.25">
      <c r="A43" s="582"/>
      <c r="B43" s="575"/>
      <c r="C43" s="1380"/>
      <c r="D43" s="925"/>
      <c r="E43" s="925"/>
      <c r="F43" s="925"/>
      <c r="G43" s="925"/>
      <c r="H43" s="925"/>
      <c r="I43" s="925"/>
      <c r="J43" s="926"/>
      <c r="K43" s="669"/>
      <c r="L43" s="670">
        <f t="shared" si="0"/>
      </c>
    </row>
    <row r="44" spans="1:12" s="367" customFormat="1" ht="18" customHeight="1" x14ac:dyDescent="0.25">
      <c r="A44" s="582"/>
      <c r="B44" s="575"/>
      <c r="C44" s="1379"/>
      <c r="D44" s="920"/>
      <c r="E44" s="920"/>
      <c r="F44" s="920"/>
      <c r="G44" s="920"/>
      <c r="H44" s="920"/>
      <c r="I44" s="920"/>
      <c r="J44" s="920"/>
      <c r="K44" s="669"/>
      <c r="L44" s="670">
        <f t="shared" ref="L44" si="1">ROUND(A44*K44,2)</f>
      </c>
    </row>
    <row r="45" spans="1:12" s="367" customFormat="1" ht="18" customHeight="1" thickBot="1" x14ac:dyDescent="0.3">
      <c r="A45" s="583"/>
      <c r="B45" s="576"/>
      <c r="C45" s="1381"/>
      <c r="D45" s="956"/>
      <c r="E45" s="956"/>
      <c r="F45" s="956"/>
      <c r="G45" s="956"/>
      <c r="H45" s="956"/>
      <c r="I45" s="956"/>
      <c r="J45" s="956"/>
      <c r="K45" s="671"/>
      <c r="L45" s="672">
        <f t="shared" si="0"/>
      </c>
    </row>
    <row r="46" spans="1:12" s="367" customFormat="1" ht="19.899999999999999" customHeight="1" thickBot="1" x14ac:dyDescent="0.3">
      <c r="B46" s="491"/>
      <c r="C46" s="491"/>
      <c r="D46" s="491"/>
      <c r="E46" s="491"/>
      <c r="F46" s="491"/>
      <c r="G46" s="491"/>
      <c r="H46" s="491"/>
      <c r="I46" s="953" t="s">
        <v>544</v>
      </c>
      <c r="J46" s="953"/>
      <c r="K46" s="954"/>
      <c r="L46" s="651">
        <f>SUM(L15:L45)</f>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c>
      <c r="D48" s="795"/>
      <c r="E48" s="538"/>
      <c r="F48" s="538"/>
      <c r="G48" s="539" t="s">
        <v>528</v>
      </c>
      <c r="H48" s="922">
        <f>Formalien!$E$13</f>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c>
      <c r="E2" s="958"/>
      <c r="F2" s="958"/>
      <c r="G2" s="958"/>
      <c r="H2" s="958"/>
      <c r="I2" s="958"/>
      <c r="J2" s="618"/>
      <c r="K2" s="614" t="s">
        <v>519</v>
      </c>
      <c r="L2" s="619">
        <f>Formalien!$E$4</f>
      </c>
    </row>
    <row r="3" spans="1:12" ht="15.6" customHeight="1" x14ac:dyDescent="0.2">
      <c r="A3" s="614" t="s">
        <v>65</v>
      </c>
      <c r="B3" s="615"/>
      <c r="C3" s="615"/>
      <c r="D3" s="615"/>
      <c r="E3" s="616">
        <f>Formalien!$E$16</f>
      </c>
      <c r="F3" s="927"/>
      <c r="G3" s="959"/>
      <c r="H3" s="959"/>
      <c r="I3" s="959"/>
      <c r="J3" s="620"/>
      <c r="K3" s="621"/>
      <c r="L3" s="618"/>
    </row>
    <row r="4" spans="1:12" ht="15.6" customHeight="1" x14ac:dyDescent="0.2">
      <c r="A4" s="614" t="s">
        <v>0</v>
      </c>
      <c r="B4" s="615"/>
      <c r="C4" s="615"/>
      <c r="D4" s="615"/>
      <c r="E4" s="930">
        <f>Formalien!$E$6</f>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c>
    </row>
    <row r="19" spans="1:12" ht="18" customHeight="1" x14ac:dyDescent="0.2">
      <c r="A19" s="584"/>
      <c r="B19" s="577"/>
      <c r="C19" s="960"/>
      <c r="D19" s="960"/>
      <c r="E19" s="960"/>
      <c r="F19" s="960"/>
      <c r="G19" s="960"/>
      <c r="H19" s="960"/>
      <c r="I19" s="961"/>
      <c r="J19" s="961"/>
      <c r="K19" s="675"/>
      <c r="L19" s="666">
        <f t="shared" si="0"/>
      </c>
    </row>
    <row r="20" spans="1:12" ht="18" customHeight="1" x14ac:dyDescent="0.2">
      <c r="A20" s="584"/>
      <c r="B20" s="577"/>
      <c r="C20" s="960"/>
      <c r="D20" s="960"/>
      <c r="E20" s="960"/>
      <c r="F20" s="960"/>
      <c r="G20" s="960"/>
      <c r="H20" s="960"/>
      <c r="I20" s="961"/>
      <c r="J20" s="961"/>
      <c r="K20" s="675"/>
      <c r="L20" s="666">
        <f t="shared" si="0"/>
      </c>
    </row>
    <row r="21" spans="1:12" ht="18" customHeight="1" x14ac:dyDescent="0.2">
      <c r="A21" s="584"/>
      <c r="B21" s="577"/>
      <c r="C21" s="960"/>
      <c r="D21" s="960"/>
      <c r="E21" s="960"/>
      <c r="F21" s="960"/>
      <c r="G21" s="960"/>
      <c r="H21" s="960"/>
      <c r="I21" s="961"/>
      <c r="J21" s="961"/>
      <c r="K21" s="675"/>
      <c r="L21" s="666">
        <f t="shared" si="0"/>
      </c>
    </row>
    <row r="22" spans="1:12" ht="18" customHeight="1" x14ac:dyDescent="0.2">
      <c r="A22" s="584"/>
      <c r="B22" s="577"/>
      <c r="C22" s="960"/>
      <c r="D22" s="960"/>
      <c r="E22" s="960"/>
      <c r="F22" s="960"/>
      <c r="G22" s="960"/>
      <c r="H22" s="960"/>
      <c r="I22" s="961"/>
      <c r="J22" s="961"/>
      <c r="K22" s="675"/>
      <c r="L22" s="666">
        <f t="shared" si="0"/>
      </c>
    </row>
    <row r="23" spans="1:12" ht="18" customHeight="1" x14ac:dyDescent="0.2">
      <c r="A23" s="584"/>
      <c r="B23" s="577"/>
      <c r="C23" s="960"/>
      <c r="D23" s="960"/>
      <c r="E23" s="960"/>
      <c r="F23" s="960"/>
      <c r="G23" s="960"/>
      <c r="H23" s="960"/>
      <c r="I23" s="961"/>
      <c r="J23" s="961"/>
      <c r="K23" s="675"/>
      <c r="L23" s="666">
        <f t="shared" ref="L23:L45" si="1">ROUND(A23*K23,2)</f>
      </c>
    </row>
    <row r="24" spans="1:12" ht="18" customHeight="1" x14ac:dyDescent="0.2">
      <c r="A24" s="584"/>
      <c r="B24" s="577"/>
      <c r="C24" s="960"/>
      <c r="D24" s="960"/>
      <c r="E24" s="960"/>
      <c r="F24" s="960"/>
      <c r="G24" s="960"/>
      <c r="H24" s="960"/>
      <c r="I24" s="961"/>
      <c r="J24" s="961"/>
      <c r="K24" s="675"/>
      <c r="L24" s="666">
        <f t="shared" si="1"/>
      </c>
    </row>
    <row r="25" spans="1:12" ht="18" customHeight="1" x14ac:dyDescent="0.2">
      <c r="A25" s="584"/>
      <c r="B25" s="577"/>
      <c r="C25" s="960"/>
      <c r="D25" s="960"/>
      <c r="E25" s="960"/>
      <c r="F25" s="960"/>
      <c r="G25" s="960"/>
      <c r="H25" s="960"/>
      <c r="I25" s="961"/>
      <c r="J25" s="961"/>
      <c r="K25" s="675"/>
      <c r="L25" s="666">
        <f t="shared" si="1"/>
      </c>
    </row>
    <row r="26" spans="1:12" ht="18" customHeight="1" x14ac:dyDescent="0.2">
      <c r="A26" s="584"/>
      <c r="B26" s="577"/>
      <c r="C26" s="960"/>
      <c r="D26" s="960"/>
      <c r="E26" s="960"/>
      <c r="F26" s="960"/>
      <c r="G26" s="960"/>
      <c r="H26" s="960"/>
      <c r="I26" s="961"/>
      <c r="J26" s="961"/>
      <c r="K26" s="675"/>
      <c r="L26" s="666">
        <f t="shared" si="1"/>
      </c>
    </row>
    <row r="27" spans="1:12" ht="18" customHeight="1" x14ac:dyDescent="0.2">
      <c r="A27" s="584"/>
      <c r="B27" s="577"/>
      <c r="C27" s="960"/>
      <c r="D27" s="960"/>
      <c r="E27" s="960"/>
      <c r="F27" s="960"/>
      <c r="G27" s="960"/>
      <c r="H27" s="960"/>
      <c r="I27" s="961"/>
      <c r="J27" s="961"/>
      <c r="K27" s="675"/>
      <c r="L27" s="666">
        <f t="shared" si="1"/>
      </c>
    </row>
    <row r="28" spans="1:12" ht="18" customHeight="1" x14ac:dyDescent="0.2">
      <c r="A28" s="584"/>
      <c r="B28" s="577"/>
      <c r="C28" s="960"/>
      <c r="D28" s="960"/>
      <c r="E28" s="960"/>
      <c r="F28" s="960"/>
      <c r="G28" s="960"/>
      <c r="H28" s="960"/>
      <c r="I28" s="961"/>
      <c r="J28" s="961"/>
      <c r="K28" s="675"/>
      <c r="L28" s="666">
        <f t="shared" si="1"/>
      </c>
    </row>
    <row r="29" spans="1:12" ht="18" customHeight="1" x14ac:dyDescent="0.2">
      <c r="A29" s="584"/>
      <c r="B29" s="577"/>
      <c r="C29" s="960"/>
      <c r="D29" s="960"/>
      <c r="E29" s="960"/>
      <c r="F29" s="960"/>
      <c r="G29" s="960"/>
      <c r="H29" s="960"/>
      <c r="I29" s="961"/>
      <c r="J29" s="961"/>
      <c r="K29" s="675"/>
      <c r="L29" s="666">
        <f t="shared" si="1"/>
      </c>
    </row>
    <row r="30" spans="1:12" ht="18" customHeight="1" x14ac:dyDescent="0.2">
      <c r="A30" s="584"/>
      <c r="B30" s="577"/>
      <c r="C30" s="960"/>
      <c r="D30" s="960"/>
      <c r="E30" s="960"/>
      <c r="F30" s="960"/>
      <c r="G30" s="960"/>
      <c r="H30" s="960"/>
      <c r="I30" s="961"/>
      <c r="J30" s="961"/>
      <c r="K30" s="675"/>
      <c r="L30" s="666">
        <f t="shared" si="1"/>
      </c>
    </row>
    <row r="31" spans="1:12" ht="18" customHeight="1" x14ac:dyDescent="0.2">
      <c r="A31" s="584"/>
      <c r="B31" s="577"/>
      <c r="C31" s="960"/>
      <c r="D31" s="960"/>
      <c r="E31" s="960"/>
      <c r="F31" s="960"/>
      <c r="G31" s="960"/>
      <c r="H31" s="960"/>
      <c r="I31" s="961"/>
      <c r="J31" s="961"/>
      <c r="K31" s="675"/>
      <c r="L31" s="666">
        <f t="shared" si="1"/>
      </c>
    </row>
    <row r="32" spans="1:12" ht="18" customHeight="1" x14ac:dyDescent="0.2">
      <c r="A32" s="584"/>
      <c r="B32" s="577"/>
      <c r="C32" s="960"/>
      <c r="D32" s="960"/>
      <c r="E32" s="960"/>
      <c r="F32" s="960"/>
      <c r="G32" s="960"/>
      <c r="H32" s="960"/>
      <c r="I32" s="961"/>
      <c r="J32" s="961"/>
      <c r="K32" s="675"/>
      <c r="L32" s="666">
        <f t="shared" si="1"/>
      </c>
    </row>
    <row r="33" spans="1:12" ht="18" customHeight="1" x14ac:dyDescent="0.2">
      <c r="A33" s="584"/>
      <c r="B33" s="577"/>
      <c r="C33" s="960"/>
      <c r="D33" s="960"/>
      <c r="E33" s="960"/>
      <c r="F33" s="960"/>
      <c r="G33" s="960"/>
      <c r="H33" s="960"/>
      <c r="I33" s="961"/>
      <c r="J33" s="961"/>
      <c r="K33" s="675"/>
      <c r="L33" s="666">
        <f t="shared" si="1"/>
      </c>
    </row>
    <row r="34" spans="1:12" ht="18" customHeight="1" x14ac:dyDescent="0.2">
      <c r="A34" s="584"/>
      <c r="B34" s="577"/>
      <c r="C34" s="960"/>
      <c r="D34" s="960"/>
      <c r="E34" s="960"/>
      <c r="F34" s="960"/>
      <c r="G34" s="960"/>
      <c r="H34" s="960"/>
      <c r="I34" s="961"/>
      <c r="J34" s="961"/>
      <c r="K34" s="675"/>
      <c r="L34" s="666">
        <f t="shared" si="1"/>
      </c>
    </row>
    <row r="35" spans="1:12" ht="18" customHeight="1" x14ac:dyDescent="0.2">
      <c r="A35" s="584"/>
      <c r="B35" s="577"/>
      <c r="C35" s="960"/>
      <c r="D35" s="960"/>
      <c r="E35" s="960"/>
      <c r="F35" s="960"/>
      <c r="G35" s="960"/>
      <c r="H35" s="960"/>
      <c r="I35" s="961"/>
      <c r="J35" s="961"/>
      <c r="K35" s="675"/>
      <c r="L35" s="666">
        <f t="shared" si="1"/>
      </c>
    </row>
    <row r="36" spans="1:12" ht="18" customHeight="1" x14ac:dyDescent="0.2">
      <c r="A36" s="584"/>
      <c r="B36" s="577"/>
      <c r="C36" s="960"/>
      <c r="D36" s="960"/>
      <c r="E36" s="960"/>
      <c r="F36" s="960"/>
      <c r="G36" s="960"/>
      <c r="H36" s="960"/>
      <c r="I36" s="961"/>
      <c r="J36" s="961"/>
      <c r="K36" s="675"/>
      <c r="L36" s="666">
        <f t="shared" si="1"/>
      </c>
    </row>
    <row r="37" spans="1:12" ht="18" customHeight="1" x14ac:dyDescent="0.2">
      <c r="A37" s="584"/>
      <c r="B37" s="577"/>
      <c r="C37" s="960"/>
      <c r="D37" s="960"/>
      <c r="E37" s="960"/>
      <c r="F37" s="960"/>
      <c r="G37" s="960"/>
      <c r="H37" s="960"/>
      <c r="I37" s="961"/>
      <c r="J37" s="961"/>
      <c r="K37" s="675"/>
      <c r="L37" s="666">
        <f t="shared" si="1"/>
      </c>
    </row>
    <row r="38" spans="1:12" ht="18" customHeight="1" x14ac:dyDescent="0.2">
      <c r="A38" s="584"/>
      <c r="B38" s="577"/>
      <c r="C38" s="960"/>
      <c r="D38" s="960"/>
      <c r="E38" s="960"/>
      <c r="F38" s="960"/>
      <c r="G38" s="960"/>
      <c r="H38" s="960"/>
      <c r="I38" s="961"/>
      <c r="J38" s="961"/>
      <c r="K38" s="675"/>
      <c r="L38" s="666">
        <f t="shared" si="1"/>
      </c>
    </row>
    <row r="39" spans="1:12" ht="18" customHeight="1" x14ac:dyDescent="0.2">
      <c r="A39" s="584"/>
      <c r="B39" s="577"/>
      <c r="C39" s="960"/>
      <c r="D39" s="960"/>
      <c r="E39" s="960"/>
      <c r="F39" s="960"/>
      <c r="G39" s="960"/>
      <c r="H39" s="960"/>
      <c r="I39" s="961"/>
      <c r="J39" s="961"/>
      <c r="K39" s="675"/>
      <c r="L39" s="666">
        <f t="shared" si="1"/>
      </c>
    </row>
    <row r="40" spans="1:12" ht="18" customHeight="1" x14ac:dyDescent="0.2">
      <c r="A40" s="584"/>
      <c r="B40" s="577"/>
      <c r="C40" s="960"/>
      <c r="D40" s="960"/>
      <c r="E40" s="960"/>
      <c r="F40" s="960"/>
      <c r="G40" s="960"/>
      <c r="H40" s="960"/>
      <c r="I40" s="961"/>
      <c r="J40" s="961"/>
      <c r="K40" s="675"/>
      <c r="L40" s="666">
        <f t="shared" si="1"/>
      </c>
    </row>
    <row r="41" spans="1:12" ht="18" customHeight="1" x14ac:dyDescent="0.2">
      <c r="A41" s="584"/>
      <c r="B41" s="577"/>
      <c r="C41" s="960"/>
      <c r="D41" s="960"/>
      <c r="E41" s="960"/>
      <c r="F41" s="960"/>
      <c r="G41" s="960"/>
      <c r="H41" s="960"/>
      <c r="I41" s="961"/>
      <c r="J41" s="961"/>
      <c r="K41" s="675"/>
      <c r="L41" s="666">
        <f t="shared" si="1"/>
      </c>
    </row>
    <row r="42" spans="1:12" ht="18" customHeight="1" x14ac:dyDescent="0.2">
      <c r="A42" s="584"/>
      <c r="B42" s="577"/>
      <c r="C42" s="960"/>
      <c r="D42" s="960"/>
      <c r="E42" s="960"/>
      <c r="F42" s="960"/>
      <c r="G42" s="960"/>
      <c r="H42" s="960"/>
      <c r="I42" s="961"/>
      <c r="J42" s="961"/>
      <c r="K42" s="675"/>
      <c r="L42" s="666">
        <f t="shared" si="1"/>
      </c>
    </row>
    <row r="43" spans="1:12" ht="18" customHeight="1" x14ac:dyDescent="0.2">
      <c r="A43" s="584"/>
      <c r="B43" s="577"/>
      <c r="C43" s="960"/>
      <c r="D43" s="960"/>
      <c r="E43" s="960"/>
      <c r="F43" s="960"/>
      <c r="G43" s="960"/>
      <c r="H43" s="960"/>
      <c r="I43" s="961"/>
      <c r="J43" s="961"/>
      <c r="K43" s="675"/>
      <c r="L43" s="666">
        <f t="shared" si="1"/>
      </c>
    </row>
    <row r="44" spans="1:12" ht="18" customHeight="1" x14ac:dyDescent="0.2">
      <c r="A44" s="584"/>
      <c r="B44" s="577"/>
      <c r="C44" s="960"/>
      <c r="D44" s="960"/>
      <c r="E44" s="960"/>
      <c r="F44" s="960"/>
      <c r="G44" s="960"/>
      <c r="H44" s="960"/>
      <c r="I44" s="961"/>
      <c r="J44" s="961"/>
      <c r="K44" s="675"/>
      <c r="L44" s="666">
        <f t="shared" si="1"/>
      </c>
    </row>
    <row r="45" spans="1:12" ht="18" customHeight="1" thickBot="1" x14ac:dyDescent="0.25">
      <c r="A45" s="585"/>
      <c r="B45" s="578"/>
      <c r="C45" s="966"/>
      <c r="D45" s="966"/>
      <c r="E45" s="966"/>
      <c r="F45" s="966"/>
      <c r="G45" s="966"/>
      <c r="H45" s="966"/>
      <c r="I45" s="967"/>
      <c r="J45" s="968"/>
      <c r="K45" s="676"/>
      <c r="L45" s="677">
        <f t="shared" si="1"/>
      </c>
    </row>
    <row r="46" spans="1:12" ht="20.100000000000001" customHeight="1" thickBot="1" x14ac:dyDescent="0.3">
      <c r="A46" s="540"/>
      <c r="B46" s="540"/>
      <c r="C46" s="540"/>
      <c r="D46" s="540"/>
      <c r="E46" s="540"/>
      <c r="F46" s="540"/>
      <c r="G46" s="540"/>
      <c r="H46" s="969" t="s">
        <v>545</v>
      </c>
      <c r="I46" s="970"/>
      <c r="J46" s="970"/>
      <c r="K46" s="971"/>
      <c r="L46" s="650">
        <f>SUM(L18:L45)</f>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c>
      <c r="D48" s="795"/>
      <c r="E48" s="538"/>
      <c r="F48" s="921" t="s">
        <v>121</v>
      </c>
      <c r="G48" s="795"/>
      <c r="H48" s="965">
        <f>Formalien!$E$13</f>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c>
      <c r="E2" s="958"/>
      <c r="F2" s="958"/>
      <c r="G2" s="958"/>
      <c r="H2" s="958"/>
      <c r="I2" s="958"/>
      <c r="K2" s="364" t="s">
        <v>519</v>
      </c>
      <c r="L2" s="619">
        <f>Formalien!$E$4</f>
      </c>
    </row>
    <row r="3" spans="1:12" ht="14.45" customHeight="1" x14ac:dyDescent="0.25">
      <c r="A3" s="614" t="s">
        <v>65</v>
      </c>
      <c r="B3" s="615"/>
      <c r="C3" s="615"/>
      <c r="D3" s="371"/>
      <c r="E3" s="537">
        <f>Formalien!$E$16</f>
      </c>
      <c r="F3" s="996"/>
      <c r="G3" s="872"/>
      <c r="H3" s="872"/>
      <c r="I3" s="872"/>
      <c r="J3" s="79"/>
      <c r="K3" s="338"/>
      <c r="L3" s="331"/>
    </row>
    <row r="4" spans="1:12" ht="14.45" customHeight="1" x14ac:dyDescent="0.25">
      <c r="A4" s="614" t="s">
        <v>0</v>
      </c>
      <c r="B4" s="615"/>
      <c r="C4" s="615"/>
      <c r="D4" s="371"/>
      <c r="E4" s="930">
        <f>Formalien!$E$6</f>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c>
    </row>
    <row r="10" spans="1:12" ht="18" customHeight="1" x14ac:dyDescent="0.2">
      <c r="A10" s="658"/>
      <c r="B10" s="659"/>
      <c r="C10" s="993"/>
      <c r="D10" s="993"/>
      <c r="E10" s="993"/>
      <c r="F10" s="993"/>
      <c r="G10" s="993"/>
      <c r="H10" s="993"/>
      <c r="I10" s="993"/>
      <c r="J10" s="993"/>
      <c r="K10" s="678"/>
      <c r="L10" s="679">
        <f t="shared" ref="L10:L45" si="0">ROUND(A10*K10,2)</f>
      </c>
    </row>
    <row r="11" spans="1:12" ht="18" customHeight="1" x14ac:dyDescent="0.2">
      <c r="A11" s="584"/>
      <c r="B11" s="577"/>
      <c r="C11" s="992"/>
      <c r="D11" s="992"/>
      <c r="E11" s="992"/>
      <c r="F11" s="992"/>
      <c r="G11" s="992"/>
      <c r="H11" s="992"/>
      <c r="I11" s="992"/>
      <c r="J11" s="992"/>
      <c r="K11" s="680"/>
      <c r="L11" s="681">
        <f t="shared" si="0"/>
      </c>
    </row>
    <row r="12" spans="1:12" ht="18" customHeight="1" x14ac:dyDescent="0.2">
      <c r="A12" s="584"/>
      <c r="B12" s="577"/>
      <c r="C12" s="992"/>
      <c r="D12" s="992"/>
      <c r="E12" s="992"/>
      <c r="F12" s="992"/>
      <c r="G12" s="992"/>
      <c r="H12" s="992"/>
      <c r="I12" s="992"/>
      <c r="J12" s="992"/>
      <c r="K12" s="680"/>
      <c r="L12" s="681">
        <f t="shared" si="0"/>
      </c>
    </row>
    <row r="13" spans="1:12" ht="18" customHeight="1" x14ac:dyDescent="0.2">
      <c r="A13" s="584"/>
      <c r="B13" s="577"/>
      <c r="C13" s="992"/>
      <c r="D13" s="992"/>
      <c r="E13" s="992"/>
      <c r="F13" s="992"/>
      <c r="G13" s="992"/>
      <c r="H13" s="992"/>
      <c r="I13" s="992"/>
      <c r="J13" s="992"/>
      <c r="K13" s="680"/>
      <c r="L13" s="681">
        <f t="shared" si="0"/>
      </c>
    </row>
    <row r="14" spans="1:12" ht="18" customHeight="1" x14ac:dyDescent="0.2">
      <c r="A14" s="584"/>
      <c r="B14" s="577"/>
      <c r="C14" s="992"/>
      <c r="D14" s="992"/>
      <c r="E14" s="992"/>
      <c r="F14" s="992"/>
      <c r="G14" s="992"/>
      <c r="H14" s="992"/>
      <c r="I14" s="992"/>
      <c r="J14" s="992"/>
      <c r="K14" s="680"/>
      <c r="L14" s="681">
        <f t="shared" si="0"/>
      </c>
    </row>
    <row r="15" spans="1:12" ht="18" customHeight="1" x14ac:dyDescent="0.2">
      <c r="A15" s="584"/>
      <c r="B15" s="577"/>
      <c r="C15" s="992"/>
      <c r="D15" s="992"/>
      <c r="E15" s="992"/>
      <c r="F15" s="992"/>
      <c r="G15" s="992"/>
      <c r="H15" s="992"/>
      <c r="I15" s="992"/>
      <c r="J15" s="992"/>
      <c r="K15" s="680"/>
      <c r="L15" s="681">
        <f t="shared" si="0"/>
      </c>
    </row>
    <row r="16" spans="1:12" ht="18" customHeight="1" x14ac:dyDescent="0.2">
      <c r="A16" s="584"/>
      <c r="B16" s="577"/>
      <c r="C16" s="992"/>
      <c r="D16" s="992"/>
      <c r="E16" s="992"/>
      <c r="F16" s="992"/>
      <c r="G16" s="992"/>
      <c r="H16" s="992"/>
      <c r="I16" s="992"/>
      <c r="J16" s="992"/>
      <c r="K16" s="680"/>
      <c r="L16" s="681">
        <f t="shared" si="0"/>
      </c>
    </row>
    <row r="17" spans="1:12" ht="18" customHeight="1" x14ac:dyDescent="0.2">
      <c r="A17" s="584"/>
      <c r="B17" s="577"/>
      <c r="C17" s="992"/>
      <c r="D17" s="992"/>
      <c r="E17" s="992"/>
      <c r="F17" s="992"/>
      <c r="G17" s="992"/>
      <c r="H17" s="992"/>
      <c r="I17" s="992"/>
      <c r="J17" s="992"/>
      <c r="K17" s="680"/>
      <c r="L17" s="681">
        <f t="shared" si="0"/>
      </c>
    </row>
    <row r="18" spans="1:12" ht="18" customHeight="1" x14ac:dyDescent="0.2">
      <c r="A18" s="584"/>
      <c r="B18" s="577"/>
      <c r="C18" s="992"/>
      <c r="D18" s="992"/>
      <c r="E18" s="992"/>
      <c r="F18" s="992"/>
      <c r="G18" s="992"/>
      <c r="H18" s="992"/>
      <c r="I18" s="992"/>
      <c r="J18" s="992"/>
      <c r="K18" s="680"/>
      <c r="L18" s="681">
        <f t="shared" si="0"/>
      </c>
    </row>
    <row r="19" spans="1:12" ht="18" customHeight="1" x14ac:dyDescent="0.2">
      <c r="A19" s="584"/>
      <c r="B19" s="577"/>
      <c r="C19" s="992"/>
      <c r="D19" s="992"/>
      <c r="E19" s="992"/>
      <c r="F19" s="992"/>
      <c r="G19" s="992"/>
      <c r="H19" s="992"/>
      <c r="I19" s="992"/>
      <c r="J19" s="992"/>
      <c r="K19" s="680"/>
      <c r="L19" s="681">
        <f t="shared" si="0"/>
      </c>
    </row>
    <row r="20" spans="1:12" ht="18" customHeight="1" x14ac:dyDescent="0.2">
      <c r="A20" s="584"/>
      <c r="B20" s="577"/>
      <c r="C20" s="992"/>
      <c r="D20" s="992"/>
      <c r="E20" s="992"/>
      <c r="F20" s="992"/>
      <c r="G20" s="992"/>
      <c r="H20" s="992"/>
      <c r="I20" s="992"/>
      <c r="J20" s="992"/>
      <c r="K20" s="680"/>
      <c r="L20" s="681">
        <f t="shared" si="0"/>
      </c>
    </row>
    <row r="21" spans="1:12" ht="18" customHeight="1" x14ac:dyDescent="0.2">
      <c r="A21" s="584"/>
      <c r="B21" s="577"/>
      <c r="C21" s="992"/>
      <c r="D21" s="992"/>
      <c r="E21" s="992"/>
      <c r="F21" s="992"/>
      <c r="G21" s="992"/>
      <c r="H21" s="992"/>
      <c r="I21" s="992"/>
      <c r="J21" s="992"/>
      <c r="K21" s="680"/>
      <c r="L21" s="681">
        <f t="shared" si="0"/>
      </c>
    </row>
    <row r="22" spans="1:12" ht="18" customHeight="1" x14ac:dyDescent="0.2">
      <c r="A22" s="584"/>
      <c r="B22" s="577"/>
      <c r="C22" s="992"/>
      <c r="D22" s="992"/>
      <c r="E22" s="992"/>
      <c r="F22" s="992"/>
      <c r="G22" s="992"/>
      <c r="H22" s="992"/>
      <c r="I22" s="992"/>
      <c r="J22" s="992"/>
      <c r="K22" s="680"/>
      <c r="L22" s="681">
        <f t="shared" si="0"/>
      </c>
    </row>
    <row r="23" spans="1:12" ht="18" customHeight="1" x14ac:dyDescent="0.2">
      <c r="A23" s="584"/>
      <c r="B23" s="577"/>
      <c r="C23" s="992"/>
      <c r="D23" s="992"/>
      <c r="E23" s="992"/>
      <c r="F23" s="992"/>
      <c r="G23" s="992"/>
      <c r="H23" s="992"/>
      <c r="I23" s="992"/>
      <c r="J23" s="992"/>
      <c r="K23" s="680"/>
      <c r="L23" s="681">
        <f t="shared" si="0"/>
      </c>
    </row>
    <row r="24" spans="1:12" ht="18" customHeight="1" x14ac:dyDescent="0.2">
      <c r="A24" s="584"/>
      <c r="B24" s="577"/>
      <c r="C24" s="992"/>
      <c r="D24" s="992"/>
      <c r="E24" s="992"/>
      <c r="F24" s="992"/>
      <c r="G24" s="992"/>
      <c r="H24" s="992"/>
      <c r="I24" s="992"/>
      <c r="J24" s="992"/>
      <c r="K24" s="680"/>
      <c r="L24" s="681">
        <f t="shared" si="0"/>
      </c>
    </row>
    <row r="25" spans="1:12" ht="18" customHeight="1" x14ac:dyDescent="0.2">
      <c r="A25" s="584"/>
      <c r="B25" s="577"/>
      <c r="C25" s="992"/>
      <c r="D25" s="992"/>
      <c r="E25" s="992"/>
      <c r="F25" s="992"/>
      <c r="G25" s="992"/>
      <c r="H25" s="992"/>
      <c r="I25" s="992"/>
      <c r="J25" s="992"/>
      <c r="K25" s="680"/>
      <c r="L25" s="681">
        <f t="shared" si="0"/>
      </c>
    </row>
    <row r="26" spans="1:12" ht="18" customHeight="1" x14ac:dyDescent="0.2">
      <c r="A26" s="584"/>
      <c r="B26" s="577"/>
      <c r="C26" s="992"/>
      <c r="D26" s="992"/>
      <c r="E26" s="992"/>
      <c r="F26" s="992"/>
      <c r="G26" s="992"/>
      <c r="H26" s="992"/>
      <c r="I26" s="992"/>
      <c r="J26" s="992"/>
      <c r="K26" s="680"/>
      <c r="L26" s="681">
        <f t="shared" si="0"/>
      </c>
    </row>
    <row r="27" spans="1:12" ht="18" customHeight="1" x14ac:dyDescent="0.2">
      <c r="A27" s="584"/>
      <c r="B27" s="577"/>
      <c r="C27" s="992"/>
      <c r="D27" s="992"/>
      <c r="E27" s="992"/>
      <c r="F27" s="992"/>
      <c r="G27" s="992"/>
      <c r="H27" s="992"/>
      <c r="I27" s="992"/>
      <c r="J27" s="992"/>
      <c r="K27" s="680"/>
      <c r="L27" s="681">
        <f t="shared" si="0"/>
      </c>
    </row>
    <row r="28" spans="1:12" ht="18" customHeight="1" x14ac:dyDescent="0.2">
      <c r="A28" s="584"/>
      <c r="B28" s="577"/>
      <c r="C28" s="992"/>
      <c r="D28" s="992"/>
      <c r="E28" s="992"/>
      <c r="F28" s="992"/>
      <c r="G28" s="992"/>
      <c r="H28" s="992"/>
      <c r="I28" s="992"/>
      <c r="J28" s="992"/>
      <c r="K28" s="680"/>
      <c r="L28" s="681">
        <f t="shared" si="0"/>
      </c>
    </row>
    <row r="29" spans="1:12" ht="18" customHeight="1" x14ac:dyDescent="0.2">
      <c r="A29" s="584"/>
      <c r="B29" s="577"/>
      <c r="C29" s="992"/>
      <c r="D29" s="992"/>
      <c r="E29" s="992"/>
      <c r="F29" s="992"/>
      <c r="G29" s="992"/>
      <c r="H29" s="992"/>
      <c r="I29" s="992"/>
      <c r="J29" s="992"/>
      <c r="K29" s="680"/>
      <c r="L29" s="681">
        <f t="shared" si="0"/>
      </c>
    </row>
    <row r="30" spans="1:12" ht="18" customHeight="1" x14ac:dyDescent="0.2">
      <c r="A30" s="584"/>
      <c r="B30" s="577"/>
      <c r="C30" s="992"/>
      <c r="D30" s="992"/>
      <c r="E30" s="992"/>
      <c r="F30" s="992"/>
      <c r="G30" s="992"/>
      <c r="H30" s="992"/>
      <c r="I30" s="992"/>
      <c r="J30" s="992"/>
      <c r="K30" s="680"/>
      <c r="L30" s="681">
        <f t="shared" si="0"/>
      </c>
    </row>
    <row r="31" spans="1:12" ht="18" customHeight="1" x14ac:dyDescent="0.2">
      <c r="A31" s="584"/>
      <c r="B31" s="577"/>
      <c r="C31" s="992"/>
      <c r="D31" s="992"/>
      <c r="E31" s="992"/>
      <c r="F31" s="992"/>
      <c r="G31" s="992"/>
      <c r="H31" s="992"/>
      <c r="I31" s="992"/>
      <c r="J31" s="992"/>
      <c r="K31" s="680"/>
      <c r="L31" s="681">
        <f t="shared" si="0"/>
      </c>
    </row>
    <row r="32" spans="1:12" ht="18" customHeight="1" x14ac:dyDescent="0.2">
      <c r="A32" s="584"/>
      <c r="B32" s="577"/>
      <c r="C32" s="992"/>
      <c r="D32" s="992"/>
      <c r="E32" s="992"/>
      <c r="F32" s="992"/>
      <c r="G32" s="992"/>
      <c r="H32" s="992"/>
      <c r="I32" s="992"/>
      <c r="J32" s="992"/>
      <c r="K32" s="680"/>
      <c r="L32" s="681">
        <f t="shared" si="0"/>
      </c>
    </row>
    <row r="33" spans="1:12" ht="18" customHeight="1" x14ac:dyDescent="0.2">
      <c r="A33" s="584"/>
      <c r="B33" s="577"/>
      <c r="C33" s="992"/>
      <c r="D33" s="992"/>
      <c r="E33" s="992"/>
      <c r="F33" s="992"/>
      <c r="G33" s="992"/>
      <c r="H33" s="992"/>
      <c r="I33" s="992"/>
      <c r="J33" s="992"/>
      <c r="K33" s="680"/>
      <c r="L33" s="681">
        <f t="shared" si="0"/>
      </c>
    </row>
    <row r="34" spans="1:12" ht="18" customHeight="1" x14ac:dyDescent="0.2">
      <c r="A34" s="584"/>
      <c r="B34" s="577"/>
      <c r="C34" s="992"/>
      <c r="D34" s="992"/>
      <c r="E34" s="992"/>
      <c r="F34" s="992"/>
      <c r="G34" s="992"/>
      <c r="H34" s="992"/>
      <c r="I34" s="992"/>
      <c r="J34" s="992"/>
      <c r="K34" s="680"/>
      <c r="L34" s="681">
        <f t="shared" si="0"/>
      </c>
    </row>
    <row r="35" spans="1:12" ht="18" customHeight="1" x14ac:dyDescent="0.2">
      <c r="A35" s="584"/>
      <c r="B35" s="577"/>
      <c r="C35" s="992"/>
      <c r="D35" s="992"/>
      <c r="E35" s="992"/>
      <c r="F35" s="992"/>
      <c r="G35" s="992"/>
      <c r="H35" s="992"/>
      <c r="I35" s="992"/>
      <c r="J35" s="992"/>
      <c r="K35" s="680"/>
      <c r="L35" s="681">
        <f t="shared" si="0"/>
      </c>
    </row>
    <row r="36" spans="1:12" ht="18" customHeight="1" x14ac:dyDescent="0.2">
      <c r="A36" s="584"/>
      <c r="B36" s="577"/>
      <c r="C36" s="992"/>
      <c r="D36" s="992"/>
      <c r="E36" s="992"/>
      <c r="F36" s="992"/>
      <c r="G36" s="992"/>
      <c r="H36" s="992"/>
      <c r="I36" s="992"/>
      <c r="J36" s="992"/>
      <c r="K36" s="680"/>
      <c r="L36" s="681">
        <f t="shared" si="0"/>
      </c>
    </row>
    <row r="37" spans="1:12" ht="18" customHeight="1" x14ac:dyDescent="0.2">
      <c r="A37" s="584"/>
      <c r="B37" s="577"/>
      <c r="C37" s="992"/>
      <c r="D37" s="992"/>
      <c r="E37" s="992"/>
      <c r="F37" s="992"/>
      <c r="G37" s="992"/>
      <c r="H37" s="992"/>
      <c r="I37" s="992"/>
      <c r="J37" s="992"/>
      <c r="K37" s="680"/>
      <c r="L37" s="681">
        <f t="shared" si="0"/>
      </c>
    </row>
    <row r="38" spans="1:12" ht="18" customHeight="1" x14ac:dyDescent="0.2">
      <c r="A38" s="584"/>
      <c r="B38" s="577"/>
      <c r="C38" s="992"/>
      <c r="D38" s="992"/>
      <c r="E38" s="992"/>
      <c r="F38" s="992"/>
      <c r="G38" s="992"/>
      <c r="H38" s="992"/>
      <c r="I38" s="992"/>
      <c r="J38" s="992"/>
      <c r="K38" s="680"/>
      <c r="L38" s="681">
        <f t="shared" si="0"/>
      </c>
    </row>
    <row r="39" spans="1:12" ht="18" customHeight="1" x14ac:dyDescent="0.2">
      <c r="A39" s="584"/>
      <c r="B39" s="577"/>
      <c r="C39" s="992"/>
      <c r="D39" s="992"/>
      <c r="E39" s="992"/>
      <c r="F39" s="992"/>
      <c r="G39" s="992"/>
      <c r="H39" s="992"/>
      <c r="I39" s="992"/>
      <c r="J39" s="992"/>
      <c r="K39" s="680"/>
      <c r="L39" s="681">
        <f t="shared" si="0"/>
      </c>
    </row>
    <row r="40" spans="1:12" ht="18" customHeight="1" x14ac:dyDescent="0.2">
      <c r="A40" s="584"/>
      <c r="B40" s="577"/>
      <c r="C40" s="992"/>
      <c r="D40" s="992"/>
      <c r="E40" s="992"/>
      <c r="F40" s="992"/>
      <c r="G40" s="992"/>
      <c r="H40" s="992"/>
      <c r="I40" s="992"/>
      <c r="J40" s="992"/>
      <c r="K40" s="680"/>
      <c r="L40" s="681">
        <f t="shared" si="0"/>
      </c>
    </row>
    <row r="41" spans="1:12" ht="18" customHeight="1" x14ac:dyDescent="0.2">
      <c r="A41" s="584"/>
      <c r="B41" s="577"/>
      <c r="C41" s="992"/>
      <c r="D41" s="992"/>
      <c r="E41" s="992"/>
      <c r="F41" s="992"/>
      <c r="G41" s="992"/>
      <c r="H41" s="992"/>
      <c r="I41" s="992"/>
      <c r="J41" s="992"/>
      <c r="K41" s="680"/>
      <c r="L41" s="681">
        <f t="shared" si="0"/>
      </c>
    </row>
    <row r="42" spans="1:12" ht="18" customHeight="1" x14ac:dyDescent="0.2">
      <c r="A42" s="584"/>
      <c r="B42" s="577"/>
      <c r="C42" s="992"/>
      <c r="D42" s="992"/>
      <c r="E42" s="992"/>
      <c r="F42" s="992"/>
      <c r="G42" s="992"/>
      <c r="H42" s="992"/>
      <c r="I42" s="992"/>
      <c r="J42" s="992"/>
      <c r="K42" s="680"/>
      <c r="L42" s="681">
        <f t="shared" si="0"/>
      </c>
    </row>
    <row r="43" spans="1:12" ht="18" customHeight="1" x14ac:dyDescent="0.2">
      <c r="A43" s="584"/>
      <c r="B43" s="577"/>
      <c r="C43" s="992"/>
      <c r="D43" s="992"/>
      <c r="E43" s="992"/>
      <c r="F43" s="992"/>
      <c r="G43" s="992"/>
      <c r="H43" s="992"/>
      <c r="I43" s="992"/>
      <c r="J43" s="992"/>
      <c r="K43" s="680"/>
      <c r="L43" s="681">
        <f t="shared" si="0"/>
      </c>
    </row>
    <row r="44" spans="1:12" ht="18" customHeight="1" x14ac:dyDescent="0.2">
      <c r="A44" s="584"/>
      <c r="B44" s="577"/>
      <c r="C44" s="992"/>
      <c r="D44" s="992"/>
      <c r="E44" s="992"/>
      <c r="F44" s="992"/>
      <c r="G44" s="992"/>
      <c r="H44" s="992"/>
      <c r="I44" s="992"/>
      <c r="J44" s="992"/>
      <c r="K44" s="680"/>
      <c r="L44" s="681">
        <f t="shared" si="0"/>
      </c>
    </row>
    <row r="45" spans="1:12" ht="18" customHeight="1" thickBot="1" x14ac:dyDescent="0.25">
      <c r="A45" s="585"/>
      <c r="B45" s="578"/>
      <c r="C45" s="1003"/>
      <c r="D45" s="1003"/>
      <c r="E45" s="1003"/>
      <c r="F45" s="1003"/>
      <c r="G45" s="1003"/>
      <c r="H45" s="1003"/>
      <c r="I45" s="1003"/>
      <c r="J45" s="1003"/>
      <c r="K45" s="682"/>
      <c r="L45" s="683">
        <f t="shared" si="0"/>
      </c>
    </row>
    <row r="46" spans="1:12" ht="16.149999999999999" customHeight="1" thickBot="1" x14ac:dyDescent="0.25">
      <c r="A46" s="330"/>
      <c r="B46" s="330"/>
      <c r="C46" s="330"/>
      <c r="D46" s="330"/>
      <c r="E46" s="330"/>
      <c r="F46" s="330"/>
      <c r="G46" s="330"/>
      <c r="H46" s="330"/>
      <c r="I46" s="1004" t="s">
        <v>546</v>
      </c>
      <c r="J46" s="1004"/>
      <c r="K46" s="1005"/>
      <c r="L46" s="657">
        <f>SUM(L9:L45)</f>
      </c>
    </row>
    <row r="47" spans="1:12" ht="16.899999999999999" customHeight="1" x14ac:dyDescent="0.2"/>
    <row r="48" spans="1:12" ht="16.899999999999999" customHeight="1" x14ac:dyDescent="0.25">
      <c r="A48" s="952" t="s">
        <v>34</v>
      </c>
      <c r="B48" s="952"/>
      <c r="C48" s="921">
        <f>Formalien!$E$15</f>
      </c>
      <c r="D48" s="795"/>
      <c r="E48" s="921" t="s">
        <v>121</v>
      </c>
      <c r="F48" s="795"/>
      <c r="G48" s="773">
        <f>Formalien!$E$13</f>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c>
      <c r="E2" s="859"/>
      <c r="F2" s="363" t="s">
        <v>3</v>
      </c>
      <c r="G2" s="369">
        <f>Formalien!$E$4</f>
      </c>
      <c r="H2" s="369"/>
      <c r="I2" s="340"/>
    </row>
    <row r="3" spans="1:9" ht="15" x14ac:dyDescent="0.25">
      <c r="A3" s="849" t="s">
        <v>65</v>
      </c>
      <c r="B3" s="795"/>
      <c r="C3" s="795"/>
      <c r="D3" s="366">
        <f>Formalien!$E$16</f>
      </c>
      <c r="E3" s="364" t="s">
        <v>61</v>
      </c>
      <c r="F3" s="365"/>
      <c r="G3" s="341"/>
      <c r="H3" s="341"/>
      <c r="I3" s="340"/>
    </row>
    <row r="4" spans="1:9" ht="15" x14ac:dyDescent="0.25">
      <c r="A4" s="849" t="s">
        <v>0</v>
      </c>
      <c r="B4" s="795"/>
      <c r="C4" s="795"/>
      <c r="D4" s="336">
        <f>Formalien!$E$6</f>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c>
      <c r="C49" s="1008" t="s">
        <v>197</v>
      </c>
      <c r="D49" s="1008"/>
      <c r="E49" s="40">
        <f>ROUND(E48-E48*B49%,2)</f>
      </c>
      <c r="F49" s="1" t="s">
        <v>115</v>
      </c>
    </row>
    <row r="50" spans="1:6" x14ac:dyDescent="0.2">
      <c r="B50" s="5">
        <f>E49</f>
      </c>
      <c r="C50" s="14" t="s">
        <v>8</v>
      </c>
      <c r="D50" s="204"/>
      <c r="E50" s="1" t="s">
        <v>26</v>
      </c>
      <c r="F50" s="41">
        <f>ROUND(B50*D50,2)</f>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c>
      <c r="F1" s="1099"/>
      <c r="G1" s="1099"/>
      <c r="H1" s="1099"/>
      <c r="I1" s="1099"/>
      <c r="J1" s="1100">
        <f>Formalien!$E$5</f>
      </c>
      <c r="K1" s="1100"/>
    </row>
    <row r="2" spans="1:21" x14ac:dyDescent="0.2">
      <c r="A2" s="1101" t="s">
        <v>66</v>
      </c>
      <c r="B2" s="1014"/>
      <c r="C2" s="1014"/>
      <c r="D2" s="1099">
        <f>Formalien!$E$6</f>
      </c>
      <c r="E2" s="1099"/>
      <c r="F2" s="1099"/>
      <c r="G2" s="1099"/>
      <c r="H2" s="1101" t="s">
        <v>67</v>
      </c>
      <c r="I2" s="1066"/>
      <c r="J2" s="65">
        <f>Formalien!$E$4</f>
      </c>
    </row>
    <row r="3" spans="1:21" s="8" customFormat="1" x14ac:dyDescent="0.2">
      <c r="A3" s="1101" t="s">
        <v>68</v>
      </c>
      <c r="B3" s="1066"/>
      <c r="C3" s="1066"/>
      <c r="D3" s="1066"/>
      <c r="E3" s="1066"/>
      <c r="F3" s="1066"/>
      <c r="G3" s="63">
        <f>#REF!</f>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f>#REF!</f>
      </c>
      <c r="D17" s="108">
        <f>#REF!</f>
      </c>
      <c r="E17" s="99">
        <f>#REF!</f>
      </c>
      <c r="F17" s="1">
        <f>#REF!</f>
      </c>
      <c r="J17" s="149">
        <f>#REF!</f>
      </c>
      <c r="K17" s="8"/>
    </row>
    <row r="18" spans="1:24" ht="13.5" thickBot="1" x14ac:dyDescent="0.25">
      <c r="A18" s="1014" t="s">
        <v>75</v>
      </c>
      <c r="B18" s="1014"/>
      <c r="C18" s="148">
        <f>#REF!</f>
      </c>
      <c r="D18" s="1">
        <f>#REF!</f>
      </c>
      <c r="F18" s="1078">
        <f>#REF!</f>
      </c>
      <c r="G18" s="1078"/>
      <c r="H18" s="3">
        <f>#REF!</f>
      </c>
      <c r="I18" s="1102">
        <f>#REF!</f>
      </c>
      <c r="J18" s="1102"/>
    </row>
    <row r="19" spans="1:24" ht="13.5" thickBot="1" x14ac:dyDescent="0.25">
      <c r="A19" s="1" t="s">
        <v>76</v>
      </c>
      <c r="C19" s="101">
        <f>#REF!</f>
      </c>
      <c r="D19" s="108">
        <f>#REF!</f>
      </c>
      <c r="E19" s="99">
        <f>#REF!</f>
      </c>
      <c r="F19" s="1">
        <f>#REF!</f>
      </c>
      <c r="J19" s="149">
        <f>#REF!</f>
      </c>
      <c r="K19" s="8"/>
    </row>
    <row r="20" spans="1:24" ht="15" customHeight="1" thickBot="1" x14ac:dyDescent="0.25">
      <c r="A20" s="3" t="s">
        <v>75</v>
      </c>
      <c r="B20" s="3"/>
      <c r="C20" s="148">
        <f>#REF!</f>
      </c>
      <c r="D20" s="1">
        <f>#REF!</f>
      </c>
      <c r="F20" s="1078">
        <f>#REF!</f>
      </c>
      <c r="G20" s="1078"/>
      <c r="H20" s="3">
        <f>#REF!</f>
      </c>
      <c r="I20" s="1085">
        <f>#REF!</f>
      </c>
      <c r="J20" s="1085"/>
    </row>
    <row r="21" spans="1:24" ht="12.75" customHeight="1" thickBot="1" x14ac:dyDescent="0.25">
      <c r="A21" s="1" t="s">
        <v>77</v>
      </c>
      <c r="C21" s="101">
        <f>#REF!</f>
      </c>
      <c r="D21" s="108">
        <f>#REF!</f>
      </c>
      <c r="E21" s="99">
        <f>#REF!</f>
      </c>
      <c r="F21" s="1">
        <f>#REF!</f>
      </c>
      <c r="J21" s="149">
        <f>#REF!</f>
      </c>
      <c r="K21" s="13"/>
    </row>
    <row r="22" spans="1:24" ht="12.75" customHeight="1" thickBot="1" x14ac:dyDescent="0.25">
      <c r="A22" s="3" t="s">
        <v>75</v>
      </c>
      <c r="B22" s="3"/>
      <c r="C22" s="148">
        <f>#REF!</f>
      </c>
      <c r="D22" s="1">
        <f>#REF!</f>
      </c>
      <c r="F22" s="1078">
        <f>#REF!</f>
      </c>
      <c r="G22" s="1078"/>
      <c r="H22" s="3">
        <f>#REF!</f>
      </c>
      <c r="I22" s="1085">
        <f>#REF!</f>
      </c>
      <c r="J22" s="1085"/>
      <c r="K22" s="13"/>
    </row>
    <row r="23" spans="1:24" ht="13.5" thickBot="1" x14ac:dyDescent="0.25">
      <c r="A23" s="1" t="s">
        <v>78</v>
      </c>
      <c r="C23" s="101">
        <f>#REF!</f>
      </c>
      <c r="D23" s="108">
        <f>#REF!</f>
      </c>
      <c r="E23" s="99">
        <f>#REF!</f>
      </c>
      <c r="F23" s="1">
        <f>#REF!</f>
      </c>
      <c r="G23" s="1">
        <f>#REF!</f>
      </c>
      <c r="J23" s="1">
        <f>#REF!</f>
      </c>
      <c r="K23" s="12"/>
    </row>
    <row r="24" spans="1:24" ht="15" customHeight="1" thickBot="1" x14ac:dyDescent="0.25">
      <c r="A24" s="3" t="s">
        <v>75</v>
      </c>
      <c r="B24" s="3"/>
      <c r="C24" s="109">
        <f>#REF!</f>
      </c>
      <c r="D24" s="12">
        <f>#REF!</f>
      </c>
      <c r="E24" s="2">
        <f>#REF!</f>
      </c>
      <c r="F24" s="1078">
        <f>#REF!</f>
      </c>
      <c r="G24" s="1078"/>
      <c r="H24" s="3">
        <f>#REF!</f>
      </c>
      <c r="I24" s="1085">
        <f>#REF!</f>
      </c>
      <c r="J24" s="1085"/>
      <c r="K24" s="17"/>
    </row>
    <row r="25" spans="1:24" ht="13.5" thickBot="1" x14ac:dyDescent="0.25">
      <c r="A25" s="61" t="s">
        <v>179</v>
      </c>
      <c r="C25" s="61"/>
      <c r="F25" s="14"/>
      <c r="G25" s="14"/>
      <c r="H25" s="3"/>
      <c r="I25" s="15"/>
      <c r="J25" s="15"/>
      <c r="K25" s="17"/>
    </row>
    <row r="26" spans="1:24" x14ac:dyDescent="0.2">
      <c r="A26" s="69"/>
      <c r="B26" s="131">
        <f>#REF!</f>
      </c>
      <c r="C26" s="132"/>
      <c r="D26" s="1086">
        <f>#REF!</f>
      </c>
      <c r="E26" s="1086"/>
      <c r="F26" s="1086"/>
      <c r="G26" s="1086"/>
      <c r="H26" s="1086"/>
      <c r="I26" s="1086"/>
      <c r="J26" s="1087"/>
      <c r="K26" s="17"/>
    </row>
    <row r="27" spans="1:24" ht="12.75" customHeight="1" x14ac:dyDescent="0.2">
      <c r="A27" s="18" t="s">
        <v>80</v>
      </c>
      <c r="B27" s="1088">
        <f>#REF!</f>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f>#REF!</f>
      </c>
      <c r="C45" s="1084">
        <f>#REF!</f>
      </c>
      <c r="D45" s="1084"/>
      <c r="E45" s="1084"/>
      <c r="F45" s="1">
        <f>#REF!</f>
      </c>
      <c r="G45" s="105">
        <f>#REF!</f>
      </c>
      <c r="H45" s="3">
        <f>#REF!</f>
      </c>
      <c r="I45" s="1060">
        <f>#REF!</f>
      </c>
      <c r="J45" s="1060"/>
      <c r="K45" s="13"/>
      <c r="W45" s="68"/>
    </row>
    <row r="46" spans="1:24" ht="13.5" thickBot="1" x14ac:dyDescent="0.25">
      <c r="A46" s="21" t="s">
        <v>83</v>
      </c>
      <c r="B46" s="102">
        <f>#REF!</f>
      </c>
      <c r="C46" s="1084">
        <f>#REF!</f>
      </c>
      <c r="D46" s="1084"/>
      <c r="E46" s="1084"/>
      <c r="F46" s="1">
        <f>#REF!</f>
      </c>
      <c r="G46" s="105">
        <f>#REF!</f>
      </c>
      <c r="H46" s="3">
        <f>#REF!</f>
      </c>
      <c r="I46" s="1060">
        <f>#REF!</f>
      </c>
      <c r="J46" s="1060"/>
      <c r="K46" s="13"/>
      <c r="V46" s="112"/>
      <c r="W46" s="112"/>
      <c r="X46" s="8"/>
    </row>
    <row r="47" spans="1:24" ht="13.5" thickBot="1" x14ac:dyDescent="0.25">
      <c r="A47" s="1" t="s">
        <v>84</v>
      </c>
      <c r="B47" s="102">
        <f>#REF!</f>
      </c>
      <c r="C47" s="1084">
        <f>#REF!</f>
      </c>
      <c r="D47" s="1084"/>
      <c r="E47" s="1084"/>
      <c r="F47" s="1">
        <f>#REF!</f>
      </c>
      <c r="G47" s="150">
        <f>#REF!</f>
      </c>
      <c r="H47" s="3">
        <f>#REF!</f>
      </c>
      <c r="I47" s="1060">
        <f>#REF!</f>
      </c>
      <c r="J47" s="1060"/>
      <c r="K47" s="13"/>
      <c r="W47" s="68"/>
    </row>
    <row r="48" spans="1:24" ht="13.5" thickBot="1" x14ac:dyDescent="0.25">
      <c r="A48" s="1" t="s">
        <v>85</v>
      </c>
      <c r="B48" s="102">
        <f>#REF!</f>
      </c>
      <c r="C48" s="1084">
        <f>#REF!</f>
      </c>
      <c r="D48" s="1084"/>
      <c r="E48" s="1084"/>
      <c r="F48" s="1">
        <f>#REF!</f>
      </c>
      <c r="G48" s="150">
        <f>#REF!</f>
      </c>
      <c r="H48" s="3">
        <f>#REF!</f>
      </c>
      <c r="I48" s="1060">
        <f>#REF!</f>
      </c>
      <c r="J48" s="1060"/>
      <c r="K48" s="13"/>
      <c r="V48" s="112"/>
      <c r="W48" s="112"/>
      <c r="X48" s="8"/>
    </row>
    <row r="49" spans="1:24" ht="14.45" customHeight="1" thickBot="1" x14ac:dyDescent="0.25">
      <c r="A49" s="7" t="s">
        <v>187</v>
      </c>
      <c r="B49" s="71">
        <f>#REF!</f>
      </c>
      <c r="C49" s="72"/>
      <c r="D49" s="72"/>
      <c r="E49" s="1027">
        <f>#REF!</f>
      </c>
      <c r="F49" s="1027"/>
      <c r="G49" s="1075"/>
      <c r="H49" s="1075"/>
      <c r="I49" s="1076"/>
      <c r="J49" s="106">
        <f>#REF!</f>
      </c>
      <c r="K49" s="13"/>
      <c r="W49" s="68"/>
    </row>
    <row r="50" spans="1:24" ht="14.45" customHeight="1" thickBot="1" x14ac:dyDescent="0.25">
      <c r="A50" s="7" t="s">
        <v>86</v>
      </c>
      <c r="B50" s="107">
        <f>#REF!</f>
      </c>
      <c r="C50" s="1077">
        <f>#REF!</f>
      </c>
      <c r="D50" s="1077"/>
      <c r="E50" s="1078"/>
      <c r="F50" s="1078"/>
      <c r="G50" s="1079"/>
      <c r="H50" s="3">
        <f>#REF!</f>
      </c>
      <c r="I50" s="1080">
        <f>#REF!</f>
      </c>
      <c r="J50" s="1081"/>
      <c r="K50" s="13"/>
      <c r="V50" s="112"/>
      <c r="W50" s="112"/>
      <c r="X50" s="8"/>
    </row>
    <row r="51" spans="1:24" ht="14.45" customHeight="1" thickBot="1" x14ac:dyDescent="0.25">
      <c r="A51" s="1" t="s">
        <v>193</v>
      </c>
      <c r="B51" s="113">
        <f>#REF!</f>
      </c>
      <c r="C51" s="1082">
        <f>#REF!</f>
      </c>
      <c r="D51" s="1082"/>
      <c r="E51" s="1082"/>
      <c r="F51" s="1082"/>
      <c r="G51" s="1082"/>
      <c r="H51" s="3">
        <f>#REF!</f>
      </c>
      <c r="I51" s="1083">
        <f>#REF!</f>
      </c>
      <c r="J51" s="1083"/>
    </row>
    <row r="52" spans="1:24" ht="18" customHeight="1" thickBot="1" x14ac:dyDescent="0.25">
      <c r="A52" s="1" t="s">
        <v>194</v>
      </c>
      <c r="B52" s="110">
        <f>#REF!</f>
      </c>
      <c r="C52" s="1093">
        <f>#REF!</f>
      </c>
      <c r="D52" s="1094"/>
      <c r="E52" s="1094"/>
      <c r="F52" s="1094"/>
      <c r="G52" s="1094"/>
      <c r="H52" s="1094"/>
      <c r="I52" s="1094"/>
      <c r="J52" s="1095"/>
      <c r="K52" s="104">
        <f>#REF!</f>
      </c>
      <c r="V52" s="112"/>
      <c r="W52" s="112"/>
      <c r="X52" s="13"/>
    </row>
    <row r="53" spans="1:24" x14ac:dyDescent="0.2">
      <c r="A53" s="16"/>
      <c r="B53" s="64">
        <f>#REF!</f>
      </c>
      <c r="C53" s="22"/>
      <c r="D53" s="1068">
        <f>#REF!</f>
      </c>
      <c r="E53" s="1068"/>
      <c r="F53" s="1068"/>
      <c r="G53" s="1068"/>
      <c r="H53" s="1068"/>
      <c r="I53" s="1068"/>
      <c r="J53" s="1069"/>
      <c r="V53" s="15"/>
      <c r="W53" s="15"/>
      <c r="X53" s="13"/>
    </row>
    <row r="54" spans="1:24" x14ac:dyDescent="0.2">
      <c r="A54" s="23"/>
      <c r="B54" s="1044">
        <f>#REF!</f>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f>SUM(I45:J51)+I18+I20+I22+I24</f>
      </c>
      <c r="J61" s="1074"/>
    </row>
    <row r="63" spans="1:24" x14ac:dyDescent="0.2">
      <c r="A63" s="8"/>
    </row>
    <row r="64" spans="1:24" x14ac:dyDescent="0.2">
      <c r="A64" s="8"/>
    </row>
    <row r="65" spans="1:11" ht="14.45" customHeight="1" x14ac:dyDescent="0.2">
      <c r="A65" s="8" t="s">
        <v>137</v>
      </c>
      <c r="B65" s="8"/>
      <c r="C65" s="8"/>
      <c r="H65" s="1008">
        <f>Formalien!$F$5</f>
      </c>
      <c r="I65" s="1008"/>
      <c r="J65" s="1008"/>
      <c r="K65" s="8"/>
    </row>
    <row r="66" spans="1:11" x14ac:dyDescent="0.2">
      <c r="B66" s="1008" t="s">
        <v>1</v>
      </c>
      <c r="C66" s="1008"/>
      <c r="D66" s="1065">
        <f>$E$1</f>
      </c>
      <c r="E66" s="1066"/>
      <c r="F66" s="1066"/>
      <c r="G66" s="3" t="s">
        <v>3</v>
      </c>
      <c r="H66" s="24">
        <f>J2</f>
      </c>
      <c r="I66" s="7"/>
    </row>
    <row r="67" spans="1:11" x14ac:dyDescent="0.2">
      <c r="G67" s="12"/>
      <c r="H67" s="1066"/>
      <c r="I67" s="1066"/>
      <c r="J67" s="1066"/>
    </row>
    <row r="68" spans="1:11" x14ac:dyDescent="0.2">
      <c r="E68" s="1014" t="s">
        <v>351</v>
      </c>
      <c r="F68" s="1014"/>
      <c r="G68" s="1014"/>
      <c r="H68" s="1014"/>
      <c r="I68" s="1060">
        <f>I61</f>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f>#REF!</f>
      </c>
      <c r="C70" s="12">
        <f>#REF!</f>
      </c>
      <c r="E70" s="12"/>
      <c r="F70" s="12"/>
      <c r="G70" s="12"/>
      <c r="H70" s="12"/>
      <c r="I70" s="12"/>
      <c r="J70" s="12"/>
    </row>
    <row r="71" spans="1:11" x14ac:dyDescent="0.2">
      <c r="C71" s="67"/>
      <c r="D71" s="3">
        <f>#REF!</f>
      </c>
      <c r="E71" s="66">
        <f>#REF!</f>
      </c>
      <c r="F71" s="1">
        <f>#REF!</f>
      </c>
      <c r="H71" s="3">
        <f>#REF!</f>
      </c>
      <c r="I71" s="1060">
        <f>#REF!</f>
      </c>
      <c r="J71" s="1060"/>
      <c r="K71" s="13"/>
    </row>
    <row r="72" spans="1:11" ht="13.5" thickBot="1" x14ac:dyDescent="0.25">
      <c r="A72" s="1" t="s">
        <v>29</v>
      </c>
      <c r="B72" s="102">
        <f>#REF!</f>
      </c>
      <c r="C72" s="12">
        <f>#REF!</f>
      </c>
      <c r="E72" s="66">
        <f>#REF!</f>
      </c>
      <c r="F72" s="12"/>
      <c r="G72" s="12"/>
      <c r="H72" s="3">
        <f>#REF!</f>
      </c>
      <c r="I72" s="1060">
        <f>#REF!</f>
      </c>
      <c r="J72" s="1060"/>
    </row>
    <row r="73" spans="1:11" ht="13.5" thickBot="1" x14ac:dyDescent="0.25">
      <c r="A73" s="1" t="s">
        <v>91</v>
      </c>
      <c r="B73" s="103">
        <f>#REF!</f>
      </c>
      <c r="C73" s="12">
        <f>#REF!</f>
      </c>
      <c r="E73" s="66">
        <f>#REF!</f>
      </c>
      <c r="F73" s="12">
        <f>#REF!</f>
      </c>
      <c r="G73" s="12"/>
      <c r="H73" s="3">
        <f>#REF!</f>
      </c>
      <c r="I73" s="1060">
        <f>#REF!</f>
      </c>
      <c r="J73" s="1060"/>
    </row>
    <row r="74" spans="1:11" ht="13.5" thickBot="1" x14ac:dyDescent="0.25">
      <c r="A74" s="26" t="s">
        <v>92</v>
      </c>
      <c r="B74" s="1052">
        <f>#REF!</f>
      </c>
      <c r="C74" s="1061"/>
      <c r="D74" s="1061"/>
      <c r="E74" s="1061"/>
      <c r="F74" s="1061"/>
      <c r="G74" s="1062"/>
      <c r="H74" s="3">
        <f>#REF!</f>
      </c>
      <c r="I74" s="1063">
        <f>#REF!</f>
      </c>
      <c r="J74" s="1064"/>
      <c r="K74" s="13"/>
    </row>
    <row r="75" spans="1:11" ht="13.5" thickBot="1" x14ac:dyDescent="0.25">
      <c r="A75" s="12" t="s">
        <v>189</v>
      </c>
      <c r="B75" s="1052">
        <f>#REF!</f>
      </c>
      <c r="C75" s="1053"/>
      <c r="D75" s="1053"/>
      <c r="E75" s="1053"/>
      <c r="F75" s="1053"/>
      <c r="G75" s="1054"/>
      <c r="H75" s="3">
        <f>#REF!</f>
      </c>
      <c r="I75" s="1055">
        <f>#REF!</f>
      </c>
      <c r="J75" s="1056"/>
      <c r="K75" s="13"/>
    </row>
    <row r="76" spans="1:11" ht="14.45" customHeight="1" thickBot="1" x14ac:dyDescent="0.25">
      <c r="A76" s="12" t="s">
        <v>190</v>
      </c>
      <c r="B76" s="1052">
        <f>#REF!</f>
      </c>
      <c r="C76" s="1053"/>
      <c r="D76" s="1053"/>
      <c r="E76" s="1053"/>
      <c r="F76" s="1053"/>
      <c r="G76" s="1054"/>
      <c r="H76" s="3">
        <f>#REF!</f>
      </c>
      <c r="I76" s="1055">
        <f>#REF!</f>
      </c>
      <c r="J76" s="1056"/>
      <c r="K76" s="13"/>
    </row>
    <row r="77" spans="1:11" ht="13.5" thickBot="1" x14ac:dyDescent="0.25">
      <c r="A77" s="26" t="s">
        <v>191</v>
      </c>
      <c r="B77" s="1052">
        <f>#REF!</f>
      </c>
      <c r="C77" s="1053"/>
      <c r="D77" s="1053"/>
      <c r="E77" s="1053"/>
      <c r="F77" s="1053"/>
      <c r="G77" s="1054"/>
      <c r="H77" s="3">
        <f>#REF!</f>
      </c>
      <c r="I77" s="1055">
        <f>#REF!</f>
      </c>
      <c r="J77" s="1056"/>
      <c r="K77" s="13"/>
    </row>
    <row r="78" spans="1:11" ht="13.15" customHeight="1" x14ac:dyDescent="0.2">
      <c r="A78" s="1" t="s">
        <v>192</v>
      </c>
      <c r="B78" s="1038">
        <f>#REF!</f>
      </c>
      <c r="C78" s="1038"/>
      <c r="D78" s="1038"/>
      <c r="E78" s="1038"/>
      <c r="F78" s="1038"/>
      <c r="G78" s="1038"/>
      <c r="H78" s="1038"/>
      <c r="I78" s="1058">
        <f>#REF!</f>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f>#REF!</f>
      </c>
      <c r="C80" s="1051"/>
      <c r="D80" s="1041">
        <f>#REF!</f>
      </c>
      <c r="E80" s="1041"/>
      <c r="F80" s="1041"/>
      <c r="G80" s="1041"/>
      <c r="H80" s="1041"/>
      <c r="I80" s="1042"/>
      <c r="J80" s="1043"/>
    </row>
    <row r="81" spans="1:11" x14ac:dyDescent="0.2">
      <c r="A81" s="74" t="s">
        <v>204</v>
      </c>
      <c r="B81" s="1044">
        <f>#REF!</f>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f>#REF!</f>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f>#REF!</f>
      </c>
    </row>
    <row r="90" spans="1:11" x14ac:dyDescent="0.2">
      <c r="A90" s="25" t="s">
        <v>101</v>
      </c>
      <c r="B90" s="789" t="s">
        <v>413</v>
      </c>
      <c r="C90" s="1031"/>
      <c r="D90" s="1031"/>
      <c r="E90" s="1031"/>
      <c r="F90" s="1031"/>
      <c r="G90" s="1031"/>
      <c r="H90" s="1031"/>
      <c r="I90" s="1031"/>
      <c r="J90" s="1031"/>
    </row>
    <row r="91" spans="1:11" x14ac:dyDescent="0.2">
      <c r="A91" s="8">
        <f>#REF!</f>
      </c>
      <c r="B91" s="1040">
        <f>#REF!</f>
      </c>
      <c r="C91" s="1040"/>
      <c r="D91" s="1040"/>
      <c r="E91" s="1040"/>
      <c r="F91" s="1040"/>
      <c r="G91" s="1040"/>
      <c r="H91" s="1040"/>
      <c r="I91" s="1040"/>
      <c r="J91" s="96">
        <f>#REF!</f>
      </c>
      <c r="K91" s="13"/>
    </row>
    <row r="92" spans="1:11" ht="13.5" thickBot="1" x14ac:dyDescent="0.25">
      <c r="A92" s="1014" t="s">
        <v>338</v>
      </c>
      <c r="B92" s="1014"/>
      <c r="C92" s="1014"/>
      <c r="D92" s="1014"/>
      <c r="E92" s="1014"/>
      <c r="G92" s="98">
        <f>#REF!</f>
      </c>
      <c r="H92" s="1013" t="s">
        <v>102</v>
      </c>
      <c r="I92" s="1013"/>
      <c r="J92" s="1013"/>
      <c r="K92" s="1">
        <f>#REF!</f>
      </c>
    </row>
    <row r="93" spans="1:11" x14ac:dyDescent="0.2">
      <c r="B93" s="1">
        <f>#REF!</f>
      </c>
      <c r="E93" s="151">
        <f>#REF!</f>
      </c>
      <c r="F93" s="1">
        <f>#REF!</f>
      </c>
      <c r="G93" s="152">
        <f>#REF!</f>
      </c>
      <c r="H93" s="1">
        <f>#REF!</f>
      </c>
      <c r="J93" s="153">
        <f>#REF!</f>
      </c>
      <c r="K93" s="8">
        <f>#REF!</f>
      </c>
    </row>
    <row r="94" spans="1:11" x14ac:dyDescent="0.2">
      <c r="A94" s="60" t="s">
        <v>177</v>
      </c>
      <c r="B94" s="1008">
        <f>#REF!</f>
      </c>
      <c r="C94" s="1008"/>
      <c r="D94" s="1008"/>
      <c r="E94" s="1008"/>
      <c r="F94" s="1008"/>
      <c r="G94" s="1008"/>
      <c r="H94" s="1008"/>
      <c r="I94" s="1008"/>
      <c r="J94" s="1008"/>
      <c r="K94" s="1008"/>
    </row>
    <row r="95" spans="1:11" x14ac:dyDescent="0.2">
      <c r="B95" s="1008">
        <f>#REF!</f>
      </c>
      <c r="C95" s="1008"/>
      <c r="D95" s="1008"/>
      <c r="E95" s="1008"/>
      <c r="F95" s="1008"/>
      <c r="G95" s="1008"/>
      <c r="H95" s="1008"/>
      <c r="I95" s="1008"/>
      <c r="J95" s="1008"/>
      <c r="K95" s="1008"/>
    </row>
    <row r="96" spans="1:11" ht="14.45" customHeight="1" thickBot="1" x14ac:dyDescent="0.25">
      <c r="B96" s="1008">
        <f>#REF!</f>
      </c>
      <c r="C96" s="1008"/>
      <c r="D96" s="1008"/>
      <c r="E96" s="97">
        <f>#REF!</f>
      </c>
      <c r="F96" s="1">
        <f>#REF!</f>
      </c>
      <c r="G96" s="100">
        <f>#REF!</f>
      </c>
      <c r="H96" s="3">
        <f>#REF!</f>
      </c>
      <c r="I96" s="1030">
        <f>#REF!</f>
      </c>
      <c r="J96" s="1030"/>
      <c r="K96" s="8">
        <f>#REF!</f>
      </c>
    </row>
    <row r="97" spans="1:11" x14ac:dyDescent="0.2">
      <c r="A97" s="8" t="s">
        <v>178</v>
      </c>
      <c r="B97" s="1008">
        <f>#REF!</f>
      </c>
      <c r="C97" s="1008"/>
      <c r="D97" s="1008"/>
      <c r="E97" s="1008"/>
      <c r="F97" s="1008"/>
      <c r="G97" s="1008"/>
      <c r="H97" s="1008"/>
      <c r="I97" s="1008"/>
      <c r="J97" s="1008"/>
      <c r="K97" s="8">
        <f>#REF!</f>
      </c>
    </row>
    <row r="98" spans="1:11" x14ac:dyDescent="0.2">
      <c r="B98" s="1008">
        <f>#REF!</f>
      </c>
      <c r="C98" s="1008"/>
      <c r="D98" s="1008"/>
      <c r="E98" s="1008"/>
      <c r="F98" s="1008"/>
      <c r="G98" s="1008"/>
      <c r="H98" s="1008"/>
      <c r="I98" s="1008"/>
      <c r="J98" s="29"/>
      <c r="K98" s="8"/>
    </row>
    <row r="99" spans="1:11" ht="13.5" thickBot="1" x14ac:dyDescent="0.25">
      <c r="B99" s="1008">
        <f>#REF!</f>
      </c>
      <c r="C99" s="1008"/>
      <c r="D99" s="1008"/>
      <c r="E99" s="1008"/>
      <c r="G99" s="4"/>
      <c r="H99" s="3">
        <f>#REF!</f>
      </c>
      <c r="I99" s="29"/>
      <c r="J99" s="154">
        <f>#REF!</f>
      </c>
      <c r="K99" s="8"/>
    </row>
    <row r="100" spans="1:11" ht="13.5" thickBot="1" x14ac:dyDescent="0.25">
      <c r="A100" s="8" t="s">
        <v>199</v>
      </c>
      <c r="B100" s="12">
        <f>#REF!</f>
      </c>
      <c r="C100" s="12"/>
      <c r="D100" s="12"/>
      <c r="E100" s="12"/>
      <c r="G100" s="4"/>
      <c r="H100" s="3">
        <f>#REF!</f>
      </c>
      <c r="I100" s="30"/>
      <c r="J100" s="155">
        <f>#REF!</f>
      </c>
      <c r="K100" s="8"/>
    </row>
    <row r="101" spans="1:11" ht="14.25" thickTop="1" thickBot="1" x14ac:dyDescent="0.25">
      <c r="B101" s="1031">
        <f>#REF!</f>
      </c>
      <c r="C101" s="1031"/>
      <c r="D101" s="1031"/>
      <c r="E101" s="1031"/>
      <c r="F101" s="1031"/>
      <c r="G101" s="1031"/>
      <c r="H101" s="3">
        <f>#REF!</f>
      </c>
      <c r="I101" s="1036">
        <f>#REF!</f>
      </c>
      <c r="J101" s="1037"/>
      <c r="K101" s="13">
        <f>#REF!</f>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f>#REF!</f>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f>#REF!</f>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f>#REF!</f>
      </c>
      <c r="I110" s="31"/>
      <c r="J110" s="31"/>
      <c r="K110" s="33">
        <f>#REF!</f>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f>#REF!</f>
      </c>
    </row>
    <row r="113" spans="1:22" x14ac:dyDescent="0.2">
      <c r="B113" s="1033" t="s">
        <v>108</v>
      </c>
      <c r="C113" s="1033"/>
      <c r="D113" s="1033"/>
      <c r="E113" s="1033"/>
      <c r="F113" s="1033"/>
      <c r="G113" s="1033"/>
      <c r="H113" s="1033"/>
      <c r="I113" s="1033"/>
      <c r="J113" s="1033"/>
      <c r="K113" s="8"/>
    </row>
    <row r="114" spans="1:22" x14ac:dyDescent="0.2">
      <c r="A114" s="34" t="s">
        <v>109</v>
      </c>
      <c r="B114" s="1028">
        <f>#REF!</f>
      </c>
      <c r="C114" s="1029"/>
      <c r="D114" s="1034">
        <f>#REF!</f>
      </c>
      <c r="E114" s="1034"/>
      <c r="F114" s="1034"/>
      <c r="G114" s="1034"/>
      <c r="H114" s="1034"/>
      <c r="I114" s="1034"/>
      <c r="J114" s="1035"/>
    </row>
    <row r="115" spans="1:22" x14ac:dyDescent="0.2">
      <c r="A115" s="34"/>
      <c r="B115" s="1096">
        <f>#REF!</f>
      </c>
      <c r="C115" s="1013"/>
      <c r="D115" s="1013"/>
      <c r="E115" s="1013"/>
      <c r="F115" s="1013"/>
      <c r="G115" s="1013"/>
      <c r="H115" s="1013"/>
      <c r="I115" s="1013"/>
      <c r="J115" s="1097"/>
    </row>
    <row r="116" spans="1:22" ht="12.75" customHeight="1" x14ac:dyDescent="0.2">
      <c r="A116" s="23"/>
      <c r="B116" s="1017">
        <f>#REF!</f>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c>
      <c r="D121" s="1024"/>
      <c r="E121" s="3" t="s">
        <v>120</v>
      </c>
      <c r="F121" s="1025">
        <f>Formalien!$E$12</f>
      </c>
      <c r="G121" s="1025"/>
      <c r="H121" s="35" t="s">
        <v>110</v>
      </c>
      <c r="I121" s="1025">
        <f>Formalien!$E$13</f>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c>
      <c r="F1" s="1099"/>
      <c r="G1" s="1099"/>
      <c r="H1" s="1099"/>
      <c r="I1" s="1099"/>
      <c r="J1" s="1100">
        <f>Formalien!$E$5</f>
      </c>
      <c r="K1" s="1100"/>
    </row>
    <row r="2" spans="1:21" x14ac:dyDescent="0.2">
      <c r="A2" s="1101" t="s">
        <v>66</v>
      </c>
      <c r="B2" s="1014"/>
      <c r="C2" s="1014"/>
      <c r="D2" s="1099">
        <f>Formalien!$E$6</f>
      </c>
      <c r="E2" s="1099"/>
      <c r="F2" s="1099"/>
      <c r="G2" s="1099"/>
      <c r="H2" s="1101" t="s">
        <v>67</v>
      </c>
      <c r="I2" s="1066"/>
      <c r="J2" s="65">
        <f>Formalien!$E$4</f>
      </c>
    </row>
    <row r="3" spans="1:21" s="8" customFormat="1" x14ac:dyDescent="0.2">
      <c r="A3" s="1101" t="s">
        <v>68</v>
      </c>
      <c r="B3" s="1066"/>
      <c r="C3" s="1066"/>
      <c r="D3" s="1066"/>
      <c r="E3" s="1066"/>
      <c r="F3" s="1066"/>
      <c r="G3" s="63">
        <f>#REF!</f>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f>#REF!</f>
      </c>
      <c r="D17" s="159">
        <f>#REF!</f>
      </c>
      <c r="E17" s="99">
        <f>#REF!</f>
      </c>
      <c r="F17" s="1">
        <f>#REF!</f>
      </c>
      <c r="J17" s="149">
        <f>#REF!</f>
      </c>
      <c r="K17" s="8"/>
    </row>
    <row r="18" spans="1:24" ht="13.5" thickBot="1" x14ac:dyDescent="0.25">
      <c r="A18" s="1014" t="s">
        <v>75</v>
      </c>
      <c r="B18" s="1014"/>
      <c r="C18" s="148">
        <f>#REF!</f>
      </c>
      <c r="D18" s="1">
        <f>#REF!</f>
      </c>
      <c r="F18" s="1078">
        <f>#REF!</f>
      </c>
      <c r="G18" s="1078"/>
      <c r="H18" s="3">
        <f>#REF!</f>
      </c>
      <c r="I18" s="1102">
        <f>#REF!</f>
      </c>
      <c r="J18" s="1102"/>
    </row>
    <row r="19" spans="1:24" ht="13.5" thickBot="1" x14ac:dyDescent="0.25">
      <c r="A19" s="1" t="s">
        <v>76</v>
      </c>
      <c r="C19" s="101">
        <f>#REF!</f>
      </c>
      <c r="D19" s="159">
        <f>#REF!</f>
      </c>
      <c r="E19" s="99">
        <f>#REF!</f>
      </c>
      <c r="F19" s="1">
        <f>#REF!</f>
      </c>
      <c r="J19" s="149">
        <f>#REF!</f>
      </c>
      <c r="K19" s="8"/>
    </row>
    <row r="20" spans="1:24" ht="15" customHeight="1" thickBot="1" x14ac:dyDescent="0.25">
      <c r="A20" s="3" t="s">
        <v>75</v>
      </c>
      <c r="B20" s="3"/>
      <c r="C20" s="148">
        <f>#REF!</f>
      </c>
      <c r="D20" s="1">
        <f>#REF!</f>
      </c>
      <c r="F20" s="1078">
        <f>#REF!</f>
      </c>
      <c r="G20" s="1078"/>
      <c r="H20" s="3">
        <f>#REF!</f>
      </c>
      <c r="I20" s="1085">
        <f>#REF!</f>
      </c>
      <c r="J20" s="1085"/>
    </row>
    <row r="21" spans="1:24" ht="12.75" customHeight="1" thickBot="1" x14ac:dyDescent="0.25">
      <c r="A21" s="1" t="s">
        <v>77</v>
      </c>
      <c r="C21" s="101">
        <f>#REF!</f>
      </c>
      <c r="D21" s="159">
        <f>#REF!</f>
      </c>
      <c r="E21" s="99">
        <f>#REF!</f>
      </c>
      <c r="F21" s="1">
        <f>#REF!</f>
      </c>
      <c r="J21" s="149">
        <f>#REF!</f>
      </c>
      <c r="K21" s="13"/>
    </row>
    <row r="22" spans="1:24" ht="12.75" customHeight="1" thickBot="1" x14ac:dyDescent="0.25">
      <c r="A22" s="3" t="s">
        <v>75</v>
      </c>
      <c r="B22" s="3"/>
      <c r="C22" s="148">
        <f>#REF!</f>
      </c>
      <c r="D22" s="1">
        <f>#REF!</f>
      </c>
      <c r="F22" s="1078">
        <f>#REF!</f>
      </c>
      <c r="G22" s="1078"/>
      <c r="H22" s="3">
        <f>#REF!</f>
      </c>
      <c r="I22" s="1085">
        <f>#REF!</f>
      </c>
      <c r="J22" s="1085"/>
      <c r="K22" s="13"/>
    </row>
    <row r="23" spans="1:24" ht="13.5" thickBot="1" x14ac:dyDescent="0.25">
      <c r="A23" s="1" t="s">
        <v>78</v>
      </c>
      <c r="C23" s="101">
        <f>#REF!</f>
      </c>
      <c r="D23" s="159">
        <f>#REF!</f>
      </c>
      <c r="E23" s="99">
        <f>#REF!</f>
      </c>
      <c r="F23" s="1">
        <f>#REF!</f>
      </c>
      <c r="G23" s="1">
        <f>#REF!</f>
      </c>
      <c r="J23" s="1">
        <f>#REF!</f>
      </c>
      <c r="K23" s="12"/>
    </row>
    <row r="24" spans="1:24" ht="15" customHeight="1" thickBot="1" x14ac:dyDescent="0.25">
      <c r="A24" s="3" t="s">
        <v>75</v>
      </c>
      <c r="B24" s="3"/>
      <c r="C24" s="109">
        <f>#REF!</f>
      </c>
      <c r="D24" s="12">
        <f>#REF!</f>
      </c>
      <c r="E24" s="2">
        <f>#REF!</f>
      </c>
      <c r="F24" s="1078">
        <f>#REF!</f>
      </c>
      <c r="G24" s="1078"/>
      <c r="H24" s="3">
        <f>#REF!</f>
      </c>
      <c r="I24" s="1085">
        <f>#REF!</f>
      </c>
      <c r="J24" s="1085"/>
      <c r="K24" s="17"/>
    </row>
    <row r="25" spans="1:24" ht="13.5" thickBot="1" x14ac:dyDescent="0.25">
      <c r="A25" s="61" t="s">
        <v>179</v>
      </c>
      <c r="C25" s="61"/>
      <c r="F25" s="14"/>
      <c r="G25" s="14"/>
      <c r="H25" s="3"/>
      <c r="I25" s="15"/>
      <c r="J25" s="15"/>
      <c r="K25" s="17"/>
    </row>
    <row r="26" spans="1:24" x14ac:dyDescent="0.2">
      <c r="A26" s="69"/>
      <c r="B26" s="131">
        <f>#REF!</f>
      </c>
      <c r="C26" s="132"/>
      <c r="D26" s="1086">
        <f>#REF!</f>
      </c>
      <c r="E26" s="1086"/>
      <c r="F26" s="1086"/>
      <c r="G26" s="1086"/>
      <c r="H26" s="1086"/>
      <c r="I26" s="1086"/>
      <c r="J26" s="1087"/>
      <c r="K26" s="17"/>
    </row>
    <row r="27" spans="1:24" ht="12.75" customHeight="1" x14ac:dyDescent="0.2">
      <c r="A27" s="18" t="s">
        <v>80</v>
      </c>
      <c r="B27" s="1105">
        <f>#REF!</f>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f>#REF!</f>
      </c>
      <c r="C42" s="1084">
        <f>#REF!</f>
      </c>
      <c r="D42" s="1084"/>
      <c r="E42" s="1084"/>
      <c r="F42" s="1">
        <f>#REF!</f>
      </c>
      <c r="G42" s="105">
        <f>#REF!</f>
      </c>
      <c r="H42" s="3">
        <f>#REF!</f>
      </c>
      <c r="I42" s="1060">
        <f>#REF!</f>
      </c>
      <c r="J42" s="1060"/>
      <c r="K42" s="13"/>
      <c r="W42" s="68"/>
    </row>
    <row r="43" spans="1:24" ht="13.5" thickBot="1" x14ac:dyDescent="0.25">
      <c r="A43" s="21" t="s">
        <v>83</v>
      </c>
      <c r="B43" s="102">
        <f>#REF!</f>
      </c>
      <c r="C43" s="1084">
        <f>#REF!</f>
      </c>
      <c r="D43" s="1084"/>
      <c r="E43" s="1084"/>
      <c r="F43" s="1">
        <f>#REF!</f>
      </c>
      <c r="G43" s="105">
        <f>#REF!</f>
      </c>
      <c r="H43" s="3">
        <f>#REF!</f>
      </c>
      <c r="I43" s="1060">
        <f>#REF!</f>
      </c>
      <c r="J43" s="1060"/>
      <c r="K43" s="13"/>
      <c r="V43" s="112"/>
      <c r="W43" s="112"/>
      <c r="X43" s="8"/>
    </row>
    <row r="44" spans="1:24" ht="13.5" thickBot="1" x14ac:dyDescent="0.25">
      <c r="A44" s="1" t="s">
        <v>84</v>
      </c>
      <c r="B44" s="102">
        <f>#REF!</f>
      </c>
      <c r="C44" s="1084">
        <f>#REF!</f>
      </c>
      <c r="D44" s="1084"/>
      <c r="E44" s="1084"/>
      <c r="F44" s="1">
        <f>#REF!</f>
      </c>
      <c r="G44" s="150">
        <f>#REF!</f>
      </c>
      <c r="H44" s="3">
        <f>#REF!</f>
      </c>
      <c r="I44" s="1060">
        <f>#REF!</f>
      </c>
      <c r="J44" s="1060"/>
      <c r="K44" s="13"/>
      <c r="W44" s="68"/>
    </row>
    <row r="45" spans="1:24" ht="13.5" thickBot="1" x14ac:dyDescent="0.25">
      <c r="A45" s="1" t="s">
        <v>85</v>
      </c>
      <c r="B45" s="102">
        <f>#REF!</f>
      </c>
      <c r="C45" s="1084">
        <f>#REF!</f>
      </c>
      <c r="D45" s="1084"/>
      <c r="E45" s="1084"/>
      <c r="F45" s="1">
        <f>#REF!</f>
      </c>
      <c r="G45" s="150">
        <f>#REF!</f>
      </c>
      <c r="H45" s="3">
        <f>#REF!</f>
      </c>
      <c r="I45" s="1060">
        <f>#REF!</f>
      </c>
      <c r="J45" s="1060"/>
      <c r="K45" s="13"/>
      <c r="V45" s="112"/>
      <c r="W45" s="112"/>
      <c r="X45" s="8"/>
    </row>
    <row r="46" spans="1:24" ht="14.45" customHeight="1" thickBot="1" x14ac:dyDescent="0.25">
      <c r="A46" s="7" t="s">
        <v>187</v>
      </c>
      <c r="B46" s="71">
        <f>#REF!</f>
      </c>
      <c r="C46" s="72"/>
      <c r="D46" s="72"/>
      <c r="E46" s="1027">
        <f>#REF!</f>
      </c>
      <c r="F46" s="1027"/>
      <c r="G46" s="1075"/>
      <c r="H46" s="1075"/>
      <c r="I46" s="1076"/>
      <c r="J46" s="106">
        <f>#REF!</f>
      </c>
      <c r="K46" s="13"/>
      <c r="W46" s="68"/>
    </row>
    <row r="47" spans="1:24" ht="14.45" customHeight="1" thickBot="1" x14ac:dyDescent="0.25">
      <c r="A47" s="7" t="s">
        <v>86</v>
      </c>
      <c r="B47" s="107">
        <f>#REF!</f>
      </c>
      <c r="C47" s="1077">
        <f>#REF!</f>
      </c>
      <c r="D47" s="1077"/>
      <c r="E47" s="1078"/>
      <c r="F47" s="1078"/>
      <c r="G47" s="1079"/>
      <c r="H47" s="3">
        <f>#REF!</f>
      </c>
      <c r="I47" s="1080">
        <f>#REF!</f>
      </c>
      <c r="J47" s="1081"/>
      <c r="K47" s="13"/>
      <c r="V47" s="112"/>
      <c r="W47" s="112"/>
      <c r="X47" s="8"/>
    </row>
    <row r="48" spans="1:24" ht="14.45" customHeight="1" thickBot="1" x14ac:dyDescent="0.25">
      <c r="A48" s="1" t="s">
        <v>193</v>
      </c>
      <c r="B48" s="113">
        <f>#REF!</f>
      </c>
      <c r="C48" s="1082">
        <f>#REF!</f>
      </c>
      <c r="D48" s="1082"/>
      <c r="E48" s="1082"/>
      <c r="F48" s="1082"/>
      <c r="G48" s="1082"/>
      <c r="H48" s="3">
        <f>#REF!</f>
      </c>
      <c r="I48" s="1083">
        <f>#REF!</f>
      </c>
      <c r="J48" s="1083"/>
    </row>
    <row r="49" spans="1:24" ht="18" customHeight="1" thickBot="1" x14ac:dyDescent="0.25">
      <c r="A49" s="1" t="s">
        <v>194</v>
      </c>
      <c r="B49" s="110">
        <f>#REF!</f>
      </c>
      <c r="C49" s="1093">
        <f>#REF!</f>
      </c>
      <c r="D49" s="1094"/>
      <c r="E49" s="1094"/>
      <c r="F49" s="1094"/>
      <c r="G49" s="1094"/>
      <c r="H49" s="1094"/>
      <c r="I49" s="1094"/>
      <c r="J49" s="1095"/>
      <c r="K49" s="104">
        <f>#REF!</f>
      </c>
      <c r="V49" s="112"/>
      <c r="W49" s="112"/>
      <c r="X49" s="13"/>
    </row>
    <row r="50" spans="1:24" x14ac:dyDescent="0.2">
      <c r="A50" s="16"/>
      <c r="B50" s="64">
        <f>#REF!</f>
      </c>
      <c r="C50" s="22"/>
      <c r="D50" s="1068">
        <f>#REF!</f>
      </c>
      <c r="E50" s="1068"/>
      <c r="F50" s="1068"/>
      <c r="G50" s="1068"/>
      <c r="H50" s="1068"/>
      <c r="I50" s="1068"/>
      <c r="J50" s="1069"/>
      <c r="V50" s="15"/>
      <c r="W50" s="15"/>
      <c r="X50" s="13"/>
    </row>
    <row r="51" spans="1:24" x14ac:dyDescent="0.2">
      <c r="A51" s="23"/>
      <c r="B51" s="1044">
        <f>#REF!</f>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f>SUM(I42:J48)+I18+I20+I22+I24</f>
      </c>
      <c r="J58" s="1074"/>
    </row>
    <row r="60" spans="1:24" x14ac:dyDescent="0.2">
      <c r="A60" s="8"/>
    </row>
    <row r="61" spans="1:24" x14ac:dyDescent="0.2">
      <c r="A61" s="8"/>
    </row>
    <row r="62" spans="1:24" ht="14.45" customHeight="1" x14ac:dyDescent="0.2">
      <c r="A62" s="8" t="s">
        <v>137</v>
      </c>
      <c r="B62" s="8"/>
      <c r="C62" s="8"/>
      <c r="H62" s="1008">
        <f>Formalien!$F$5</f>
      </c>
      <c r="I62" s="1008"/>
      <c r="J62" s="1008"/>
      <c r="K62" s="8"/>
    </row>
    <row r="63" spans="1:24" x14ac:dyDescent="0.2">
      <c r="B63" s="1008" t="s">
        <v>1</v>
      </c>
      <c r="C63" s="1008"/>
      <c r="D63" s="1065">
        <f>$E$1</f>
      </c>
      <c r="E63" s="1066"/>
      <c r="F63" s="1066"/>
      <c r="G63" s="3" t="s">
        <v>3</v>
      </c>
      <c r="H63" s="24">
        <f>J2</f>
      </c>
      <c r="I63" s="7"/>
    </row>
    <row r="64" spans="1:24" x14ac:dyDescent="0.2">
      <c r="G64" s="12"/>
      <c r="H64" s="1066"/>
      <c r="I64" s="1066"/>
      <c r="J64" s="1066"/>
    </row>
    <row r="65" spans="1:11" x14ac:dyDescent="0.2">
      <c r="E65" s="1013" t="s">
        <v>89</v>
      </c>
      <c r="F65" s="1013"/>
      <c r="G65" s="1013"/>
      <c r="H65" s="1013"/>
      <c r="I65" s="1060">
        <f>I58</f>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f>#REF!</f>
      </c>
      <c r="C67" s="12">
        <f>#REF!</f>
      </c>
      <c r="E67" s="12"/>
      <c r="F67" s="12"/>
      <c r="G67" s="12"/>
      <c r="H67" s="12"/>
      <c r="I67" s="12"/>
      <c r="J67" s="12"/>
    </row>
    <row r="68" spans="1:11" x14ac:dyDescent="0.2">
      <c r="C68" s="67"/>
      <c r="D68" s="3">
        <f>#REF!</f>
      </c>
      <c r="E68" s="66">
        <f>#REF!</f>
      </c>
      <c r="F68" s="1">
        <f>#REF!</f>
      </c>
      <c r="H68" s="3">
        <f>#REF!</f>
      </c>
      <c r="I68" s="1060">
        <f>#REF!</f>
      </c>
      <c r="J68" s="1060"/>
      <c r="K68" s="13"/>
    </row>
    <row r="69" spans="1:11" ht="13.5" thickBot="1" x14ac:dyDescent="0.25">
      <c r="A69" s="1" t="s">
        <v>29</v>
      </c>
      <c r="B69" s="102">
        <f>#REF!</f>
      </c>
      <c r="C69" s="12">
        <f>#REF!</f>
      </c>
      <c r="E69" s="66">
        <f>#REF!</f>
      </c>
      <c r="F69" s="12"/>
      <c r="G69" s="12"/>
      <c r="H69" s="3">
        <f>#REF!</f>
      </c>
      <c r="I69" s="1060">
        <f>#REF!</f>
      </c>
      <c r="J69" s="1060"/>
    </row>
    <row r="70" spans="1:11" ht="13.5" thickBot="1" x14ac:dyDescent="0.25">
      <c r="A70" s="1" t="s">
        <v>91</v>
      </c>
      <c r="B70" s="103">
        <f>#REF!</f>
      </c>
      <c r="C70" s="12">
        <f>#REF!</f>
      </c>
      <c r="E70" s="66">
        <f>#REF!</f>
      </c>
      <c r="F70" s="12">
        <f>#REF!</f>
      </c>
      <c r="G70" s="12"/>
      <c r="H70" s="3">
        <f>#REF!</f>
      </c>
      <c r="I70" s="1060">
        <f>#REF!</f>
      </c>
      <c r="J70" s="1060"/>
    </row>
    <row r="71" spans="1:11" ht="13.5" thickBot="1" x14ac:dyDescent="0.25">
      <c r="A71" s="26" t="s">
        <v>92</v>
      </c>
      <c r="B71" s="1052">
        <f>#REF!</f>
      </c>
      <c r="C71" s="1061"/>
      <c r="D71" s="1061"/>
      <c r="E71" s="1061"/>
      <c r="F71" s="1061"/>
      <c r="G71" s="1062"/>
      <c r="H71" s="3">
        <f>#REF!</f>
      </c>
      <c r="I71" s="1063">
        <f>#REF!</f>
      </c>
      <c r="J71" s="1064"/>
      <c r="K71" s="13"/>
    </row>
    <row r="72" spans="1:11" ht="13.5" thickBot="1" x14ac:dyDescent="0.25">
      <c r="A72" s="12" t="s">
        <v>189</v>
      </c>
      <c r="B72" s="1052">
        <f>#REF!</f>
      </c>
      <c r="C72" s="1053"/>
      <c r="D72" s="1053"/>
      <c r="E72" s="1053"/>
      <c r="F72" s="1053"/>
      <c r="G72" s="1054"/>
      <c r="H72" s="3">
        <f>#REF!</f>
      </c>
      <c r="I72" s="1055">
        <f>#REF!</f>
      </c>
      <c r="J72" s="1056"/>
      <c r="K72" s="13"/>
    </row>
    <row r="73" spans="1:11" ht="14.45" customHeight="1" thickBot="1" x14ac:dyDescent="0.25">
      <c r="A73" s="12" t="s">
        <v>190</v>
      </c>
      <c r="B73" s="1052">
        <f>#REF!</f>
      </c>
      <c r="C73" s="1053"/>
      <c r="D73" s="1053"/>
      <c r="E73" s="1053"/>
      <c r="F73" s="1053"/>
      <c r="G73" s="1054"/>
      <c r="H73" s="3">
        <f>#REF!</f>
      </c>
      <c r="I73" s="1055">
        <f>#REF!</f>
      </c>
      <c r="J73" s="1056"/>
      <c r="K73" s="13"/>
    </row>
    <row r="74" spans="1:11" ht="13.5" thickBot="1" x14ac:dyDescent="0.25">
      <c r="A74" s="26" t="s">
        <v>191</v>
      </c>
      <c r="B74" s="1052">
        <f>#REF!</f>
      </c>
      <c r="C74" s="1053"/>
      <c r="D74" s="1053"/>
      <c r="E74" s="1053"/>
      <c r="F74" s="1053"/>
      <c r="G74" s="1054"/>
      <c r="H74" s="3">
        <f>#REF!</f>
      </c>
      <c r="I74" s="1055">
        <f>#REF!</f>
      </c>
      <c r="J74" s="1056"/>
      <c r="K74" s="13"/>
    </row>
    <row r="75" spans="1:11" ht="13.15" customHeight="1" x14ac:dyDescent="0.2">
      <c r="A75" s="1" t="s">
        <v>192</v>
      </c>
      <c r="B75" s="1038">
        <f>#REF!</f>
      </c>
      <c r="C75" s="1038"/>
      <c r="D75" s="1038"/>
      <c r="E75" s="1038"/>
      <c r="F75" s="1038"/>
      <c r="G75" s="1038"/>
      <c r="H75" s="1038"/>
      <c r="I75" s="1058">
        <f>#REF!</f>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f>#REF!</f>
      </c>
      <c r="C77" s="1051"/>
      <c r="D77" s="1041">
        <f>#REF!</f>
      </c>
      <c r="E77" s="1041"/>
      <c r="F77" s="1041"/>
      <c r="G77" s="1041"/>
      <c r="H77" s="1041"/>
      <c r="I77" s="1042"/>
      <c r="J77" s="1043"/>
    </row>
    <row r="78" spans="1:11" x14ac:dyDescent="0.2">
      <c r="A78" s="74" t="s">
        <v>204</v>
      </c>
      <c r="B78" s="1044">
        <f>#REF!</f>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f>#REF!</f>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f>#REF!</f>
      </c>
    </row>
    <row r="87" spans="1:11" x14ac:dyDescent="0.2">
      <c r="A87" s="25" t="s">
        <v>101</v>
      </c>
      <c r="B87" s="1114" t="s">
        <v>413</v>
      </c>
      <c r="C87" s="1114"/>
      <c r="D87" s="1114"/>
      <c r="E87" s="1114"/>
      <c r="F87" s="1114"/>
      <c r="G87" s="1114"/>
      <c r="H87" s="1114"/>
      <c r="I87" s="1114"/>
      <c r="J87" s="1114"/>
    </row>
    <row r="88" spans="1:11" x14ac:dyDescent="0.2">
      <c r="A88" s="338">
        <f>#REF!</f>
      </c>
      <c r="B88" s="792">
        <f>#REF!</f>
      </c>
      <c r="C88" s="792"/>
      <c r="D88" s="792"/>
      <c r="E88" s="792"/>
      <c r="F88" s="792"/>
      <c r="G88" s="792"/>
      <c r="H88" s="792"/>
      <c r="I88" s="792"/>
      <c r="J88" s="349">
        <f>#REF!</f>
      </c>
      <c r="K88" s="347"/>
    </row>
    <row r="89" spans="1:11" ht="13.5" thickBot="1" x14ac:dyDescent="0.25">
      <c r="A89" s="1111" t="s">
        <v>338</v>
      </c>
      <c r="B89" s="1111"/>
      <c r="C89" s="1111"/>
      <c r="D89" s="1111"/>
      <c r="E89" s="1111"/>
      <c r="F89" s="331"/>
      <c r="G89" s="350">
        <f>#REF!</f>
      </c>
      <c r="H89" s="773" t="s">
        <v>102</v>
      </c>
      <c r="I89" s="773"/>
      <c r="J89" s="773"/>
      <c r="K89" s="331">
        <f>#REF!</f>
      </c>
    </row>
    <row r="90" spans="1:11" x14ac:dyDescent="0.2">
      <c r="A90" s="331"/>
      <c r="B90" s="331">
        <f>#REF!</f>
      </c>
      <c r="C90" s="331"/>
      <c r="D90" s="331"/>
      <c r="E90" s="351">
        <f>#REF!</f>
      </c>
      <c r="F90" s="331">
        <f>#REF!</f>
      </c>
      <c r="G90" s="352">
        <f>#REF!</f>
      </c>
      <c r="H90" s="331">
        <f>#REF!</f>
      </c>
      <c r="I90" s="331"/>
      <c r="J90" s="353">
        <f>#REF!</f>
      </c>
      <c r="K90" s="338">
        <f>#REF!</f>
      </c>
    </row>
    <row r="91" spans="1:11" x14ac:dyDescent="0.2">
      <c r="A91" s="348" t="s">
        <v>177</v>
      </c>
      <c r="B91" s="792">
        <f>#REF!</f>
      </c>
      <c r="C91" s="792"/>
      <c r="D91" s="792"/>
      <c r="E91" s="792"/>
      <c r="F91" s="792"/>
      <c r="G91" s="792"/>
      <c r="H91" s="792"/>
      <c r="I91" s="792"/>
      <c r="J91" s="792"/>
      <c r="K91" s="792"/>
    </row>
    <row r="92" spans="1:11" x14ac:dyDescent="0.2">
      <c r="A92" s="331"/>
      <c r="B92" s="792">
        <f>#REF!</f>
      </c>
      <c r="C92" s="792"/>
      <c r="D92" s="792"/>
      <c r="E92" s="792"/>
      <c r="F92" s="792"/>
      <c r="G92" s="792"/>
      <c r="H92" s="792"/>
      <c r="I92" s="792"/>
      <c r="J92" s="792"/>
      <c r="K92" s="792"/>
    </row>
    <row r="93" spans="1:11" ht="14.45" customHeight="1" thickBot="1" x14ac:dyDescent="0.25">
      <c r="A93" s="331"/>
      <c r="B93" s="792">
        <f>#REF!</f>
      </c>
      <c r="C93" s="792"/>
      <c r="D93" s="792"/>
      <c r="E93" s="354">
        <f>#REF!</f>
      </c>
      <c r="F93" s="331">
        <f>#REF!</f>
      </c>
      <c r="G93" s="355">
        <f>#REF!</f>
      </c>
      <c r="H93" s="330">
        <f>#REF!</f>
      </c>
      <c r="I93" s="1112">
        <f>#REF!</f>
      </c>
      <c r="J93" s="1112"/>
      <c r="K93" s="338">
        <f>#REF!</f>
      </c>
    </row>
    <row r="94" spans="1:11" x14ac:dyDescent="0.2">
      <c r="A94" s="338" t="s">
        <v>178</v>
      </c>
      <c r="B94" s="792">
        <f>#REF!</f>
      </c>
      <c r="C94" s="792"/>
      <c r="D94" s="792"/>
      <c r="E94" s="792"/>
      <c r="F94" s="792"/>
      <c r="G94" s="792"/>
      <c r="H94" s="792"/>
      <c r="I94" s="792"/>
      <c r="J94" s="792"/>
      <c r="K94" s="338">
        <f>#REF!</f>
      </c>
    </row>
    <row r="95" spans="1:11" x14ac:dyDescent="0.2">
      <c r="B95" s="1008">
        <f>#REF!</f>
      </c>
      <c r="C95" s="1008"/>
      <c r="D95" s="1008"/>
      <c r="E95" s="1008"/>
      <c r="F95" s="1008"/>
      <c r="G95" s="1008"/>
      <c r="H95" s="1008"/>
      <c r="I95" s="1008"/>
      <c r="J95" s="29"/>
      <c r="K95" s="8">
        <f>#REF!</f>
      </c>
    </row>
    <row r="96" spans="1:11" ht="13.5" thickBot="1" x14ac:dyDescent="0.25">
      <c r="B96" s="1008">
        <f>#REF!</f>
      </c>
      <c r="C96" s="1008"/>
      <c r="D96" s="1008"/>
      <c r="E96" s="1008"/>
      <c r="G96" s="4"/>
      <c r="H96" s="3">
        <f>#REF!</f>
      </c>
      <c r="I96" s="29"/>
      <c r="J96" s="154">
        <f>#REF!</f>
      </c>
      <c r="K96" s="8"/>
    </row>
    <row r="97" spans="1:11" ht="13.5" thickBot="1" x14ac:dyDescent="0.25">
      <c r="A97" s="8" t="s">
        <v>199</v>
      </c>
      <c r="B97" s="344">
        <f>#REF!</f>
      </c>
      <c r="C97" s="12"/>
      <c r="D97" s="12"/>
      <c r="E97" s="12"/>
      <c r="G97" s="4"/>
      <c r="H97" s="3">
        <f>#REF!</f>
      </c>
      <c r="I97" s="30"/>
      <c r="J97" s="155">
        <f>#REF!</f>
      </c>
      <c r="K97" s="8"/>
    </row>
    <row r="98" spans="1:11" ht="14.25" thickTop="1" thickBot="1" x14ac:dyDescent="0.25">
      <c r="B98" s="789">
        <f>#REF!</f>
      </c>
      <c r="C98" s="789"/>
      <c r="D98" s="789"/>
      <c r="E98" s="789"/>
      <c r="F98" s="789"/>
      <c r="G98" s="789"/>
      <c r="H98" s="3">
        <f>#REF!</f>
      </c>
      <c r="I98" s="1036">
        <f>#REF!</f>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f>#REF!</f>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f>#REF!</f>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f>#REF!</f>
      </c>
      <c r="I107" s="31"/>
      <c r="J107" s="31"/>
      <c r="K107" s="33">
        <f>#REF!</f>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f>#REF!</f>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f>#REF!</f>
      </c>
      <c r="E111" s="1034"/>
      <c r="F111" s="1034"/>
      <c r="G111" s="1034"/>
      <c r="H111" s="1034"/>
      <c r="I111" s="1034"/>
      <c r="J111" s="1035"/>
    </row>
    <row r="112" spans="1:11" x14ac:dyDescent="0.2">
      <c r="A112" s="34"/>
      <c r="B112" s="1096">
        <f>#REF!</f>
      </c>
      <c r="C112" s="1013"/>
      <c r="D112" s="1013"/>
      <c r="E112" s="1013"/>
      <c r="F112" s="1013"/>
      <c r="G112" s="1013"/>
      <c r="H112" s="1013"/>
      <c r="I112" s="1013"/>
      <c r="J112" s="1097"/>
    </row>
    <row r="113" spans="1:12" ht="15.75" thickBot="1" x14ac:dyDescent="0.3">
      <c r="A113" s="1120" t="s">
        <v>58</v>
      </c>
      <c r="B113" s="1120"/>
      <c r="C113" s="1121">
        <f>Formalien!$E$14</f>
      </c>
      <c r="D113" s="1121"/>
      <c r="E113" s="356" t="s">
        <v>120</v>
      </c>
      <c r="F113" s="1122">
        <f>Formalien!$E$12</f>
      </c>
      <c r="G113" s="1122"/>
      <c r="H113" s="357" t="s">
        <v>110</v>
      </c>
      <c r="I113" s="1122">
        <f>Formalien!$E$13</f>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c>
      <c r="D6" s="1131"/>
      <c r="E6" s="1131"/>
      <c r="F6" s="1131"/>
      <c r="G6" s="1131"/>
      <c r="H6" s="42"/>
    </row>
    <row r="7" spans="1:9" ht="15" x14ac:dyDescent="0.2">
      <c r="A7" s="1014" t="s">
        <v>1</v>
      </c>
      <c r="B7" s="1014"/>
      <c r="C7" s="1132">
        <f>Formalien!$E$3</f>
      </c>
      <c r="D7" s="1132"/>
      <c r="E7" s="1132"/>
      <c r="F7" s="1132"/>
      <c r="G7" s="1132"/>
      <c r="H7" s="42"/>
    </row>
    <row r="8" spans="1:9" ht="15" x14ac:dyDescent="0.2">
      <c r="B8" s="3"/>
      <c r="C8" s="1133">
        <f>Formalien!$E$5</f>
      </c>
      <c r="D8" s="1133"/>
      <c r="E8" s="1133"/>
      <c r="F8" s="3" t="s">
        <v>116</v>
      </c>
      <c r="G8" s="43">
        <f>Formalien!$E$4</f>
      </c>
      <c r="H8" s="42"/>
    </row>
    <row r="9" spans="1:9" ht="15" x14ac:dyDescent="0.2">
      <c r="A9" s="1014" t="s">
        <v>145</v>
      </c>
      <c r="B9" s="1014"/>
      <c r="C9" s="1134">
        <f>Formalien!$E$14</f>
      </c>
      <c r="D9" s="1134"/>
      <c r="E9" s="1134"/>
      <c r="F9" s="1134"/>
      <c r="G9" s="1134"/>
      <c r="H9" s="42"/>
    </row>
    <row r="10" spans="1:9" ht="15" customHeight="1" x14ac:dyDescent="0.2">
      <c r="A10" s="1" t="s">
        <v>117</v>
      </c>
      <c r="B10" s="1014" t="s">
        <v>121</v>
      </c>
      <c r="C10" s="1014"/>
      <c r="D10" s="1127">
        <f>Formalien!$E$12</f>
      </c>
      <c r="E10" s="1127"/>
      <c r="F10" s="1127"/>
      <c r="G10" s="1127"/>
      <c r="H10" s="42"/>
    </row>
    <row r="11" spans="1:9" ht="15" customHeight="1" x14ac:dyDescent="0.2">
      <c r="A11" s="1014" t="s">
        <v>121</v>
      </c>
      <c r="B11" s="1014"/>
      <c r="C11" s="1014"/>
      <c r="D11" s="1128">
        <f>Formalien!$E$13</f>
      </c>
      <c r="E11" s="1128"/>
      <c r="F11" s="1128"/>
      <c r="G11" s="1128"/>
      <c r="H11" s="42"/>
    </row>
    <row r="12" spans="1:9" ht="15" customHeight="1" x14ac:dyDescent="0.2">
      <c r="A12" s="1014" t="s">
        <v>118</v>
      </c>
      <c r="B12" s="1014"/>
      <c r="C12" s="1014"/>
      <c r="D12" s="1127">
        <f>Formalien!$E$10</f>
      </c>
      <c r="E12" s="1127"/>
      <c r="F12" s="1127"/>
      <c r="G12" s="1127"/>
      <c r="H12" s="42"/>
    </row>
    <row r="13" spans="1:9" ht="15" customHeight="1" x14ac:dyDescent="0.2">
      <c r="A13" s="1014" t="s">
        <v>139</v>
      </c>
      <c r="B13" s="1014"/>
      <c r="C13" s="1014"/>
      <c r="D13" s="1127">
        <f>Formalien!$E$9</f>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c>
      <c r="B16" s="1014"/>
      <c r="C16" s="1014"/>
      <c r="D16" s="44">
        <f>Baulichkeiten!$K$81</f>
      </c>
      <c r="E16" s="12">
        <f>'Deckbl UPV '!F21</f>
      </c>
      <c r="F16" s="45"/>
      <c r="G16" s="14"/>
      <c r="H16" s="42"/>
    </row>
    <row r="17" spans="1:8" x14ac:dyDescent="0.2">
      <c r="A17" s="1014">
        <f>'Deckbl UPV '!A22</f>
      </c>
      <c r="B17" s="1014"/>
      <c r="C17" s="1014"/>
      <c r="D17" s="55">
        <f>'Deckbl UPV '!E22</f>
      </c>
      <c r="E17" s="14"/>
      <c r="G17" s="14"/>
      <c r="H17" s="42"/>
    </row>
    <row r="18" spans="1:8" x14ac:dyDescent="0.2">
      <c r="A18" s="1014">
        <f>'Deckbl UPV '!#REF!</f>
      </c>
      <c r="B18" s="1014"/>
      <c r="C18" s="1014"/>
      <c r="D18" s="44">
        <f>'Deckbl UPV '!E23</f>
      </c>
      <c r="E18" s="14"/>
      <c r="F18" s="45"/>
      <c r="G18" s="14"/>
      <c r="H18" s="42"/>
    </row>
    <row r="19" spans="1:8" x14ac:dyDescent="0.2">
      <c r="A19" s="1014">
        <f>'Deckbl UPV '!K24</f>
      </c>
      <c r="B19" s="1014"/>
      <c r="C19" s="1014"/>
      <c r="D19" s="46">
        <f>'Deckbl UPV '!E24</f>
      </c>
      <c r="E19" s="14"/>
      <c r="F19" s="45"/>
      <c r="G19" s="14"/>
      <c r="H19" s="42"/>
    </row>
    <row r="20" spans="1:8" x14ac:dyDescent="0.2">
      <c r="A20" s="1014">
        <f>'Deckbl UPV '!K26</f>
      </c>
      <c r="B20" s="1014"/>
      <c r="C20" s="1014"/>
      <c r="D20" s="47"/>
      <c r="E20" s="14"/>
      <c r="F20" s="14"/>
      <c r="G20" s="14"/>
      <c r="H20" s="42"/>
    </row>
    <row r="21" spans="1:8" x14ac:dyDescent="0.2">
      <c r="A21" s="1014">
        <f>'Deckbl UPV '!C27</f>
      </c>
      <c r="B21" s="1014"/>
      <c r="C21" s="1014"/>
      <c r="D21" s="190">
        <f>'Deckbl UPV '!E27</f>
      </c>
      <c r="E21" s="14"/>
      <c r="F21" s="14"/>
      <c r="G21" s="14"/>
      <c r="H21" s="42"/>
    </row>
    <row r="22" spans="1:8" ht="13.5" thickBot="1" x14ac:dyDescent="0.25">
      <c r="A22" s="1014">
        <f>'Deckbl UPV '!C28</f>
      </c>
      <c r="B22" s="1014"/>
      <c r="C22" s="1014"/>
      <c r="D22" s="48">
        <f>'Deckbl UPV '!E26</f>
      </c>
      <c r="E22" s="14"/>
      <c r="F22" s="45"/>
      <c r="G22" s="14"/>
      <c r="H22" s="42"/>
    </row>
    <row r="23" spans="1:8" ht="13.5" thickTop="1" x14ac:dyDescent="0.2">
      <c r="A23" s="1013"/>
      <c r="B23" s="1013"/>
      <c r="C23" s="1013"/>
      <c r="D23" s="1013"/>
      <c r="E23" s="14"/>
      <c r="F23" s="14"/>
      <c r="G23" s="14"/>
      <c r="H23" s="42"/>
    </row>
    <row r="24" spans="1:8" ht="16.5" thickBot="1" x14ac:dyDescent="0.3">
      <c r="A24" s="1101">
        <f>'Deckbl UPV '!#REF!</f>
      </c>
      <c r="B24" s="1101"/>
      <c r="C24" s="1101"/>
      <c r="D24" s="49">
        <f>'Deckbl UPV '!E28</f>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c>
      <c r="D6" s="1135"/>
      <c r="E6" s="1135"/>
      <c r="F6" s="1135"/>
      <c r="G6" s="1135"/>
    </row>
    <row r="7" spans="1:7" ht="15" x14ac:dyDescent="0.2">
      <c r="A7" s="1014" t="s">
        <v>1</v>
      </c>
      <c r="B7" s="1014"/>
      <c r="C7" s="1136">
        <f>Formalien!$E$3</f>
      </c>
      <c r="D7" s="1136"/>
      <c r="E7" s="1136"/>
      <c r="F7" s="1136"/>
      <c r="G7" s="1136"/>
    </row>
    <row r="8" spans="1:7" ht="15" x14ac:dyDescent="0.2">
      <c r="B8" s="3"/>
      <c r="C8" s="1133">
        <f>Formalien!$E$5</f>
      </c>
      <c r="D8" s="1133"/>
      <c r="E8" s="1133"/>
      <c r="F8" s="3" t="s">
        <v>116</v>
      </c>
      <c r="G8" s="43">
        <f>Formalien!$E$4</f>
      </c>
    </row>
    <row r="9" spans="1:7" ht="15" x14ac:dyDescent="0.2">
      <c r="A9" s="1014" t="s">
        <v>145</v>
      </c>
      <c r="B9" s="1014"/>
      <c r="C9" s="1134">
        <f>Formalien!$E$14</f>
      </c>
      <c r="D9" s="1134"/>
      <c r="E9" s="1134"/>
      <c r="F9" s="1134"/>
      <c r="G9" s="1134"/>
    </row>
    <row r="10" spans="1:7" ht="15" customHeight="1" x14ac:dyDescent="0.2">
      <c r="A10" s="1" t="s">
        <v>117</v>
      </c>
      <c r="B10" s="1014" t="s">
        <v>121</v>
      </c>
      <c r="C10" s="1014"/>
      <c r="D10" s="1127">
        <f>Formalien!$E$12</f>
      </c>
      <c r="E10" s="1127"/>
      <c r="F10" s="1127"/>
      <c r="G10" s="1127"/>
    </row>
    <row r="11" spans="1:7" ht="15" customHeight="1" x14ac:dyDescent="0.2">
      <c r="A11" s="1014" t="s">
        <v>121</v>
      </c>
      <c r="B11" s="1014"/>
      <c r="C11" s="1014"/>
      <c r="D11" s="1128">
        <f>Formalien!$E$13</f>
      </c>
      <c r="E11" s="1128"/>
      <c r="F11" s="1128"/>
      <c r="G11" s="1128"/>
    </row>
    <row r="12" spans="1:7" ht="15" customHeight="1" x14ac:dyDescent="0.2">
      <c r="A12" s="1014" t="s">
        <v>118</v>
      </c>
      <c r="B12" s="1014"/>
      <c r="C12" s="1014"/>
      <c r="D12" s="1127">
        <f>Formalien!$E$10</f>
      </c>
      <c r="E12" s="1127"/>
      <c r="F12" s="1127"/>
      <c r="G12" s="1127"/>
    </row>
    <row r="13" spans="1:7" ht="15" customHeight="1" x14ac:dyDescent="0.2">
      <c r="A13" s="1014" t="s">
        <v>139</v>
      </c>
      <c r="B13" s="1014"/>
      <c r="C13" s="1014"/>
      <c r="D13" s="1127">
        <f>Formalien!$E$9</f>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c>
      <c r="B16" s="1014"/>
      <c r="C16" s="1014"/>
      <c r="D16" s="44">
        <f>'Deckbl UPV '!E21</f>
      </c>
      <c r="E16" s="12">
        <f>'Deckbl UPV '!F21</f>
      </c>
      <c r="F16" s="45"/>
      <c r="G16" s="14"/>
    </row>
    <row r="17" spans="1:7" x14ac:dyDescent="0.2">
      <c r="A17" s="1014">
        <f>'Deckbl UPV '!A22</f>
      </c>
      <c r="B17" s="1014"/>
      <c r="C17" s="1014"/>
      <c r="D17" s="55">
        <f>'Deckbl UPV '!E22</f>
      </c>
      <c r="E17" s="14"/>
      <c r="G17" s="14"/>
    </row>
    <row r="18" spans="1:7" x14ac:dyDescent="0.2">
      <c r="A18" s="1014" t="s">
        <v>340</v>
      </c>
      <c r="B18" s="1014"/>
      <c r="C18" s="1014"/>
      <c r="D18" s="44">
        <f>'Deckbl UPV '!E23</f>
      </c>
      <c r="E18" s="14"/>
      <c r="F18" s="45"/>
      <c r="G18" s="14"/>
    </row>
    <row r="19" spans="1:7" x14ac:dyDescent="0.2">
      <c r="C19" s="3">
        <f>'Deckbl UPV '!K24</f>
      </c>
      <c r="D19" s="46">
        <f>'Deckbl UPV '!E24</f>
      </c>
      <c r="E19" s="14"/>
      <c r="F19" s="45"/>
      <c r="G19" s="14"/>
    </row>
    <row r="20" spans="1:7" x14ac:dyDescent="0.2">
      <c r="C20" s="3">
        <f>'Deckbl UPV '!K26</f>
      </c>
      <c r="D20" s="47"/>
      <c r="E20" s="14"/>
      <c r="F20" s="14"/>
      <c r="G20" s="14"/>
    </row>
    <row r="21" spans="1:7" x14ac:dyDescent="0.2">
      <c r="C21" s="3">
        <f>'Deckbl UPV '!C27</f>
      </c>
      <c r="D21" s="47"/>
      <c r="E21" s="14"/>
      <c r="F21" s="14"/>
      <c r="G21" s="14"/>
    </row>
    <row r="22" spans="1:7" ht="13.5" thickBot="1" x14ac:dyDescent="0.25">
      <c r="C22" s="3">
        <f>'Deckbl UPV '!C28</f>
      </c>
      <c r="D22" s="48">
        <f>'Deckbl UPV '!E26</f>
      </c>
      <c r="E22" s="14"/>
      <c r="F22" s="45"/>
      <c r="G22" s="14"/>
    </row>
    <row r="23" spans="1:7" ht="13.5" thickTop="1" x14ac:dyDescent="0.2">
      <c r="E23" s="14"/>
      <c r="F23" s="14"/>
      <c r="G23" s="14"/>
    </row>
    <row r="24" spans="1:7" ht="16.5" thickBot="1" x14ac:dyDescent="0.3">
      <c r="A24" s="8"/>
      <c r="B24" s="8"/>
      <c r="C24" s="51">
        <f>'Deckbl UPV '!#REF!</f>
      </c>
      <c r="D24" s="49">
        <f>'Deckbl UPV '!E28</f>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c>
      <c r="D6" s="1138"/>
      <c r="E6" s="1138"/>
      <c r="F6" s="1138"/>
      <c r="G6" s="1138"/>
      <c r="H6" s="42"/>
    </row>
    <row r="7" spans="1:9" ht="14.45" customHeight="1" x14ac:dyDescent="0.2">
      <c r="A7" s="1014" t="s">
        <v>149</v>
      </c>
      <c r="B7" s="1014"/>
      <c r="C7" s="1127">
        <f>Formalien!$E$8</f>
      </c>
      <c r="D7" s="1127"/>
      <c r="E7" s="1127"/>
      <c r="F7" s="1127"/>
      <c r="G7" s="1127"/>
      <c r="H7" s="42"/>
    </row>
    <row r="8" spans="1:9" ht="15" customHeight="1" x14ac:dyDescent="0.2">
      <c r="A8" s="1014" t="s">
        <v>0</v>
      </c>
      <c r="B8" s="1014"/>
      <c r="C8" s="1135">
        <f>Formalien!$E$6</f>
      </c>
      <c r="D8" s="1135"/>
      <c r="E8" s="1135"/>
      <c r="F8" s="1135"/>
      <c r="G8" s="1135"/>
      <c r="H8" s="42"/>
    </row>
    <row r="9" spans="1:9" ht="15" x14ac:dyDescent="0.2">
      <c r="A9" s="1014" t="s">
        <v>1</v>
      </c>
      <c r="B9" s="1014"/>
      <c r="C9" s="1136">
        <f>Formalien!$E$3</f>
      </c>
      <c r="D9" s="1136"/>
      <c r="E9" s="1136"/>
      <c r="F9" s="1136"/>
      <c r="G9" s="1139"/>
      <c r="H9" s="42"/>
    </row>
    <row r="10" spans="1:9" ht="15" x14ac:dyDescent="0.2">
      <c r="B10" s="3"/>
      <c r="C10" s="1133">
        <f>Formalien!$E$5</f>
      </c>
      <c r="D10" s="1133"/>
      <c r="E10" s="1133"/>
      <c r="F10" s="3" t="s">
        <v>116</v>
      </c>
      <c r="G10" s="70">
        <f>Formalien!$E$4</f>
      </c>
      <c r="H10" s="42"/>
    </row>
    <row r="11" spans="1:9" ht="15" x14ac:dyDescent="0.2">
      <c r="A11" s="1014" t="s">
        <v>145</v>
      </c>
      <c r="B11" s="1014"/>
      <c r="C11" s="1134">
        <f>Formalien!$E$14</f>
      </c>
      <c r="D11" s="1134"/>
      <c r="E11" s="1134"/>
      <c r="F11" s="1134"/>
      <c r="G11" s="1140"/>
      <c r="H11" s="42"/>
    </row>
    <row r="12" spans="1:9" ht="15" customHeight="1" x14ac:dyDescent="0.2">
      <c r="A12" s="1" t="s">
        <v>117</v>
      </c>
      <c r="B12" s="1014" t="s">
        <v>121</v>
      </c>
      <c r="C12" s="1014"/>
      <c r="D12" s="1127">
        <f>Formalien!$E$12</f>
      </c>
      <c r="E12" s="1127"/>
      <c r="F12" s="1127"/>
      <c r="G12" s="1127"/>
      <c r="H12" s="42"/>
    </row>
    <row r="13" spans="1:9" ht="15" customHeight="1" x14ac:dyDescent="0.2">
      <c r="A13" s="1014" t="s">
        <v>121</v>
      </c>
      <c r="B13" s="1014"/>
      <c r="C13" s="1014"/>
      <c r="D13" s="1127">
        <f>Formalien!$E$13</f>
      </c>
      <c r="E13" s="1127"/>
      <c r="F13" s="1127"/>
      <c r="G13" s="1127"/>
      <c r="H13" s="42"/>
    </row>
    <row r="14" spans="1:9" ht="15" customHeight="1" x14ac:dyDescent="0.2">
      <c r="A14" s="1014" t="s">
        <v>118</v>
      </c>
      <c r="B14" s="1014"/>
      <c r="C14" s="1014"/>
      <c r="D14" s="1127">
        <f>Formalien!$E$10</f>
      </c>
      <c r="E14" s="1127"/>
      <c r="F14" s="1127"/>
      <c r="G14" s="1127"/>
      <c r="H14" s="42"/>
    </row>
    <row r="15" spans="1:9" ht="15" customHeight="1" x14ac:dyDescent="0.2">
      <c r="A15" s="3"/>
      <c r="B15" s="3"/>
      <c r="C15" s="3" t="s">
        <v>150</v>
      </c>
      <c r="D15" s="1127">
        <f>Formalien!$E$11</f>
      </c>
      <c r="E15" s="1127"/>
      <c r="F15" s="1127"/>
      <c r="G15" s="1127"/>
      <c r="H15" s="42"/>
    </row>
    <row r="16" spans="1:9" ht="15" customHeight="1" x14ac:dyDescent="0.2">
      <c r="A16" s="1014" t="s">
        <v>139</v>
      </c>
      <c r="B16" s="1014"/>
      <c r="C16" s="1014"/>
      <c r="D16" s="1137">
        <f>Formalien!$E$9</f>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c>
      <c r="B19" s="1014"/>
      <c r="C19" s="1014"/>
      <c r="D19" s="44">
        <f>'Deckbl UPV '!E21</f>
      </c>
      <c r="E19" s="12" t="s">
        <v>119</v>
      </c>
      <c r="F19" s="45"/>
      <c r="G19" s="14"/>
      <c r="H19" s="42"/>
    </row>
    <row r="20" spans="1:8" x14ac:dyDescent="0.2">
      <c r="A20" s="1014">
        <f>'Deckbl UPV '!A22</f>
      </c>
      <c r="B20" s="1014"/>
      <c r="C20" s="1014"/>
      <c r="D20" s="44">
        <f>'Deckbl UPV '!E22</f>
      </c>
      <c r="E20" s="14"/>
      <c r="G20" s="14"/>
      <c r="H20" s="42"/>
    </row>
    <row r="21" spans="1:8" ht="13.5" thickBot="1" x14ac:dyDescent="0.25">
      <c r="A21" s="1014">
        <f>'Deckbl UPV '!#REF!</f>
      </c>
      <c r="B21" s="1014"/>
      <c r="C21" s="1014"/>
      <c r="D21" s="191">
        <f>'Deckbl UPV '!E23</f>
      </c>
      <c r="E21" s="14"/>
      <c r="F21" s="45"/>
      <c r="G21" s="14"/>
      <c r="H21" s="42"/>
    </row>
    <row r="22" spans="1:8" x14ac:dyDescent="0.2">
      <c r="A22" s="1014">
        <f>'Deckbl UPV '!K24</f>
      </c>
      <c r="B22" s="1014"/>
      <c r="C22" s="1014"/>
      <c r="D22" s="53">
        <f>'Deckbl UPV '!E24</f>
      </c>
      <c r="E22" s="14"/>
      <c r="F22" s="45"/>
      <c r="G22" s="14"/>
      <c r="H22" s="42"/>
    </row>
    <row r="23" spans="1:8" x14ac:dyDescent="0.2">
      <c r="A23" s="1014">
        <f>'Deckbl UPV '!K26</f>
      </c>
      <c r="B23" s="1014"/>
      <c r="C23" s="1014"/>
      <c r="D23" s="47"/>
      <c r="E23" s="14"/>
      <c r="F23" s="14"/>
      <c r="G23" s="14"/>
      <c r="H23" s="42"/>
    </row>
    <row r="24" spans="1:8" x14ac:dyDescent="0.2">
      <c r="A24" s="1014">
        <f>'Deckbl UPV '!C27</f>
      </c>
      <c r="B24" s="1014"/>
      <c r="C24" s="1014"/>
      <c r="D24" s="47"/>
      <c r="E24" s="14"/>
      <c r="F24" s="14"/>
      <c r="G24" s="14"/>
      <c r="H24" s="42"/>
    </row>
    <row r="25" spans="1:8" ht="13.5" thickBot="1" x14ac:dyDescent="0.25">
      <c r="A25" s="1014">
        <f>'Deckbl UPV '!C28</f>
      </c>
      <c r="B25" s="1014"/>
      <c r="C25" s="1014"/>
      <c r="D25" s="54">
        <f>'Deckbl UPV '!E26</f>
      </c>
      <c r="E25" s="14"/>
      <c r="F25" s="45"/>
      <c r="G25" s="14"/>
      <c r="H25" s="42"/>
    </row>
    <row r="26" spans="1:8" ht="13.5" thickBot="1" x14ac:dyDescent="0.25">
      <c r="A26" s="14"/>
      <c r="B26" s="14"/>
      <c r="C26" s="51">
        <f>'Deckbl UPV '!#REF!</f>
      </c>
      <c r="D26" s="192">
        <f>'Deckbl UPV '!E28</f>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c>
    </row>
    <row r="13" spans="1:8" ht="15.75" x14ac:dyDescent="0.25">
      <c r="A13" s="224"/>
      <c r="B13" s="208"/>
      <c r="D13" s="225"/>
      <c r="E13" s="240"/>
      <c r="F13" s="241"/>
      <c r="G13" s="243"/>
      <c r="H13" s="320">
        <f>SUM(E13*G13)</f>
      </c>
    </row>
    <row r="14" spans="1:8" ht="15.75" x14ac:dyDescent="0.25">
      <c r="A14" s="224"/>
      <c r="B14" s="208"/>
      <c r="C14" s="208"/>
      <c r="D14" s="225"/>
      <c r="E14" s="240"/>
      <c r="F14" s="244"/>
      <c r="G14" s="243"/>
      <c r="H14" s="320">
        <f>SUM(E14*G14)</f>
      </c>
    </row>
    <row r="15" spans="1:8" ht="15.75" x14ac:dyDescent="0.25">
      <c r="A15" s="224"/>
      <c r="B15" s="208"/>
      <c r="C15" s="208"/>
      <c r="D15" s="225"/>
      <c r="E15" s="240"/>
      <c r="F15" s="244"/>
      <c r="G15" s="243"/>
      <c r="H15" s="320">
        <f>SUM(E15*G15)</f>
      </c>
    </row>
    <row r="16" spans="1:8" ht="15.75" x14ac:dyDescent="0.25">
      <c r="A16" s="236"/>
      <c r="B16" s="211"/>
      <c r="C16" s="127"/>
      <c r="D16" s="245"/>
      <c r="E16" s="240"/>
      <c r="F16" s="244"/>
      <c r="G16" s="243"/>
      <c r="H16" s="320">
        <f>SUM(E16*G16)</f>
      </c>
    </row>
    <row r="17" spans="1:8" ht="16.5" thickBot="1" x14ac:dyDescent="0.3">
      <c r="A17" s="224"/>
      <c r="B17" s="208"/>
      <c r="C17" s="208"/>
      <c r="D17" s="188" t="s">
        <v>389</v>
      </c>
      <c r="E17" s="208"/>
      <c r="F17" s="208"/>
      <c r="G17" s="208"/>
      <c r="H17" s="321">
        <f>SUM(H12:H16)</f>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c>
    </row>
    <row r="21" spans="1:8" ht="15.75" x14ac:dyDescent="0.25">
      <c r="A21" s="224"/>
      <c r="B21" s="208"/>
      <c r="C21" s="208"/>
      <c r="D21" s="225"/>
      <c r="E21" s="240"/>
      <c r="F21" s="246"/>
      <c r="G21" s="242"/>
      <c r="H21" s="320">
        <f t="shared" si="0"/>
      </c>
    </row>
    <row r="22" spans="1:8" ht="15.75" x14ac:dyDescent="0.25">
      <c r="A22" s="224"/>
      <c r="B22" s="208"/>
      <c r="D22" s="225"/>
      <c r="E22" s="240"/>
      <c r="F22" s="246"/>
      <c r="G22" s="242"/>
      <c r="H22" s="1405">
        <f>SUM(E22*G22)</f>
      </c>
    </row>
    <row r="23" spans="1:8" ht="15.75" x14ac:dyDescent="0.25">
      <c r="A23" s="224"/>
      <c r="B23" s="208"/>
      <c r="D23" s="225"/>
      <c r="E23" s="221"/>
      <c r="F23" s="246"/>
      <c r="G23" s="242"/>
      <c r="H23" s="320">
        <f t="shared" si="0"/>
      </c>
    </row>
    <row r="24" spans="1:8" ht="15.75" x14ac:dyDescent="0.25">
      <c r="A24" s="224"/>
      <c r="B24" s="208"/>
      <c r="D24" s="225"/>
      <c r="E24" s="240"/>
      <c r="F24" s="246"/>
      <c r="G24" s="242"/>
      <c r="H24" s="320">
        <f>SUM(E24*G24)</f>
      </c>
    </row>
    <row r="25" spans="1:8" ht="15.75" x14ac:dyDescent="0.25">
      <c r="A25" s="224"/>
      <c r="B25" s="208"/>
      <c r="D25" s="225"/>
      <c r="E25" s="221"/>
      <c r="F25" s="244"/>
      <c r="G25" s="242"/>
      <c r="H25" s="320">
        <f t="shared" si="0"/>
      </c>
    </row>
    <row r="26" spans="1:8" ht="15.75" x14ac:dyDescent="0.25">
      <c r="A26" s="224"/>
      <c r="B26" s="208"/>
      <c r="C26" s="208"/>
      <c r="D26" s="225"/>
      <c r="E26" s="240"/>
      <c r="F26" s="207"/>
      <c r="G26" s="242"/>
      <c r="H26" s="320">
        <f t="shared" si="0"/>
      </c>
    </row>
    <row r="27" spans="1:8" ht="15.75" x14ac:dyDescent="0.25">
      <c r="A27" s="224"/>
      <c r="B27" s="208"/>
      <c r="C27" s="208"/>
      <c r="D27" s="225"/>
      <c r="E27" s="240"/>
      <c r="F27" s="246"/>
      <c r="G27" s="242"/>
      <c r="H27" s="320">
        <f t="shared" si="0"/>
      </c>
    </row>
    <row r="28" spans="1:8" ht="15.75" x14ac:dyDescent="0.25">
      <c r="A28" s="224"/>
      <c r="B28" s="208"/>
      <c r="C28" s="208"/>
      <c r="D28" s="208"/>
      <c r="E28" s="240"/>
      <c r="F28" s="244"/>
      <c r="G28" s="242"/>
      <c r="H28" s="320">
        <f t="shared" si="0"/>
      </c>
    </row>
    <row r="29" spans="1:8" ht="15.75" x14ac:dyDescent="0.25">
      <c r="A29" s="236"/>
      <c r="B29" s="211"/>
      <c r="C29" s="127"/>
      <c r="D29" s="245"/>
      <c r="E29" s="240"/>
      <c r="F29" s="246"/>
      <c r="G29" s="242"/>
      <c r="H29" s="320">
        <f t="shared" si="0"/>
      </c>
    </row>
    <row r="30" spans="1:8" ht="16.5" thickBot="1" x14ac:dyDescent="0.3">
      <c r="A30" s="224"/>
      <c r="B30" s="208"/>
      <c r="C30" s="208"/>
      <c r="D30" s="188" t="s">
        <v>389</v>
      </c>
      <c r="E30" s="208"/>
      <c r="F30" s="208"/>
      <c r="G30" s="208"/>
      <c r="H30" s="321">
        <f>SUM(H20:H29)</f>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c>
    </row>
    <row r="34" spans="1:8" ht="15.75" x14ac:dyDescent="0.25">
      <c r="A34" s="224"/>
      <c r="B34" s="208"/>
      <c r="D34" s="225"/>
      <c r="E34" s="247"/>
      <c r="F34" s="244"/>
      <c r="G34" s="248"/>
      <c r="H34" s="320">
        <f t="shared" ref="H34:H39" si="1">SUM(E34*G34)</f>
      </c>
    </row>
    <row r="35" spans="1:8" ht="15.75" x14ac:dyDescent="0.25">
      <c r="A35" s="224"/>
      <c r="B35" s="1143"/>
      <c r="C35" s="806"/>
      <c r="D35" s="1144"/>
      <c r="E35" s="247"/>
      <c r="F35" s="207"/>
      <c r="G35" s="248"/>
      <c r="H35" s="320">
        <f t="shared" si="1"/>
      </c>
    </row>
    <row r="36" spans="1:8" ht="15.75" x14ac:dyDescent="0.25">
      <c r="A36" s="224"/>
      <c r="B36" s="1143"/>
      <c r="C36" s="806"/>
      <c r="D36" s="1144"/>
      <c r="E36" s="247"/>
      <c r="F36" s="244"/>
      <c r="G36" s="248"/>
      <c r="H36" s="320">
        <f t="shared" si="1"/>
      </c>
    </row>
    <row r="37" spans="1:8" ht="15.75" x14ac:dyDescent="0.25">
      <c r="A37" s="224"/>
      <c r="B37" s="1143"/>
      <c r="C37" s="806"/>
      <c r="D37" s="1144"/>
      <c r="E37" s="240"/>
      <c r="F37" s="207"/>
      <c r="G37" s="242"/>
      <c r="H37" s="320">
        <f t="shared" si="1"/>
      </c>
    </row>
    <row r="38" spans="1:8" ht="15.75" x14ac:dyDescent="0.25">
      <c r="A38" s="224"/>
      <c r="B38" s="1143"/>
      <c r="C38" s="806"/>
      <c r="D38" s="1144"/>
      <c r="E38" s="240"/>
      <c r="F38" s="246"/>
      <c r="G38" s="242"/>
      <c r="H38" s="320">
        <f t="shared" si="1"/>
      </c>
    </row>
    <row r="39" spans="1:8" ht="15.75" x14ac:dyDescent="0.25">
      <c r="A39" s="224"/>
      <c r="B39" s="1145"/>
      <c r="C39" s="1146"/>
      <c r="D39" s="1147"/>
      <c r="E39" s="240"/>
      <c r="F39" s="246"/>
      <c r="G39" s="242"/>
      <c r="H39" s="320">
        <f t="shared" si="1"/>
      </c>
    </row>
    <row r="40" spans="1:8" ht="16.5" thickBot="1" x14ac:dyDescent="0.3">
      <c r="A40" s="235"/>
      <c r="B40" s="208"/>
      <c r="C40" s="208"/>
      <c r="D40" s="188" t="s">
        <v>389</v>
      </c>
      <c r="E40" s="208"/>
      <c r="F40" s="208"/>
      <c r="G40" s="208"/>
      <c r="H40" s="321">
        <f>SUM(H33:H39)</f>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c>
    </row>
    <row r="13" spans="1:6" ht="15.75" x14ac:dyDescent="0.25">
      <c r="A13" s="275"/>
      <c r="B13" s="275"/>
      <c r="C13" s="1155"/>
      <c r="D13" s="1156"/>
      <c r="E13" s="273"/>
      <c r="F13" s="274">
        <f>SUM(A13*E13)</f>
      </c>
    </row>
    <row r="14" spans="1:6" ht="15.75" x14ac:dyDescent="0.25">
      <c r="A14" s="275"/>
      <c r="B14" s="275"/>
      <c r="C14" s="1155"/>
      <c r="D14" s="1160"/>
      <c r="E14" s="273"/>
      <c r="F14" s="274">
        <f>SUM(A14*E14)</f>
      </c>
    </row>
    <row r="15" spans="1:6" ht="15.75" x14ac:dyDescent="0.25">
      <c r="A15" s="275"/>
      <c r="B15" s="275"/>
      <c r="C15" s="1155"/>
      <c r="D15" s="1160"/>
      <c r="E15" s="273"/>
      <c r="F15" s="274">
        <f>SUM(A15*E15)</f>
      </c>
    </row>
    <row r="16" spans="1:6" ht="15.75" x14ac:dyDescent="0.25">
      <c r="A16" s="275"/>
      <c r="B16" s="275"/>
      <c r="C16" s="1155"/>
      <c r="D16" s="1160"/>
      <c r="E16" s="273"/>
      <c r="F16" s="274">
        <f t="shared" ref="F16:F44" si="0">SUM(A16*E16)</f>
      </c>
    </row>
    <row r="17" spans="1:6" ht="15.75" x14ac:dyDescent="0.25">
      <c r="A17" s="275"/>
      <c r="B17" s="275"/>
      <c r="C17" s="1155"/>
      <c r="D17" s="1160"/>
      <c r="E17" s="273"/>
      <c r="F17" s="274">
        <f t="shared" si="0"/>
      </c>
    </row>
    <row r="18" spans="1:6" ht="15.75" x14ac:dyDescent="0.25">
      <c r="A18" s="275"/>
      <c r="B18" s="275"/>
      <c r="C18" s="1155"/>
      <c r="D18" s="1160"/>
      <c r="E18" s="273"/>
      <c r="F18" s="274">
        <f t="shared" si="0"/>
      </c>
    </row>
    <row r="19" spans="1:6" ht="15.75" x14ac:dyDescent="0.25">
      <c r="A19" s="275"/>
      <c r="B19" s="275"/>
      <c r="C19" s="1155"/>
      <c r="D19" s="1160"/>
      <c r="E19" s="273"/>
      <c r="F19" s="274">
        <f t="shared" si="0"/>
      </c>
    </row>
    <row r="20" spans="1:6" ht="15.75" x14ac:dyDescent="0.25">
      <c r="A20" s="275"/>
      <c r="B20" s="275"/>
      <c r="C20" s="1155"/>
      <c r="D20" s="1160"/>
      <c r="E20" s="273"/>
      <c r="F20" s="274">
        <f t="shared" si="0"/>
      </c>
    </row>
    <row r="21" spans="1:6" ht="15.75" x14ac:dyDescent="0.25">
      <c r="A21" s="275"/>
      <c r="B21" s="275"/>
      <c r="C21" s="1155"/>
      <c r="D21" s="1160"/>
      <c r="E21" s="273"/>
      <c r="F21" s="274">
        <f t="shared" si="0"/>
      </c>
    </row>
    <row r="22" spans="1:6" ht="15.75" x14ac:dyDescent="0.25">
      <c r="A22" s="275"/>
      <c r="B22" s="275"/>
      <c r="C22" s="1155"/>
      <c r="D22" s="1160"/>
      <c r="E22" s="273"/>
      <c r="F22" s="274">
        <f t="shared" si="0"/>
      </c>
    </row>
    <row r="23" spans="1:6" ht="15.75" x14ac:dyDescent="0.25">
      <c r="A23" s="275"/>
      <c r="B23" s="275"/>
      <c r="C23" s="1155"/>
      <c r="D23" s="1160"/>
      <c r="E23" s="273"/>
      <c r="F23" s="274">
        <f t="shared" si="0"/>
      </c>
    </row>
    <row r="24" spans="1:6" ht="15.75" x14ac:dyDescent="0.25">
      <c r="A24" s="275"/>
      <c r="B24" s="275"/>
      <c r="C24" s="1155"/>
      <c r="D24" s="1160"/>
      <c r="E24" s="277"/>
      <c r="F24" s="274">
        <f t="shared" si="0"/>
      </c>
    </row>
    <row r="25" spans="1:6" ht="15.75" x14ac:dyDescent="0.25">
      <c r="A25" s="275"/>
      <c r="B25" s="275"/>
      <c r="C25" s="1155"/>
      <c r="D25" s="1160"/>
      <c r="E25" s="273"/>
      <c r="F25" s="274">
        <f t="shared" si="0"/>
      </c>
    </row>
    <row r="26" spans="1:6" ht="15.75" x14ac:dyDescent="0.25">
      <c r="A26" s="275"/>
      <c r="B26" s="275"/>
      <c r="C26" s="1155"/>
      <c r="D26" s="1156"/>
      <c r="E26" s="273"/>
      <c r="F26" s="274">
        <f t="shared" si="0"/>
      </c>
    </row>
    <row r="27" spans="1:6" ht="15.75" x14ac:dyDescent="0.25">
      <c r="A27" s="275"/>
      <c r="B27" s="275"/>
      <c r="C27" s="1155"/>
      <c r="D27" s="1156"/>
      <c r="E27" s="273"/>
      <c r="F27" s="274">
        <f t="shared" si="0"/>
      </c>
    </row>
    <row r="28" spans="1:6" ht="15.75" x14ac:dyDescent="0.25">
      <c r="A28" s="275"/>
      <c r="B28" s="275"/>
      <c r="C28" s="1155"/>
      <c r="D28" s="1156"/>
      <c r="E28" s="273"/>
      <c r="F28" s="274">
        <f t="shared" si="0"/>
      </c>
    </row>
    <row r="29" spans="1:6" ht="15.75" x14ac:dyDescent="0.25">
      <c r="A29" s="275"/>
      <c r="B29" s="275"/>
      <c r="C29" s="1155"/>
      <c r="D29" s="1160"/>
      <c r="E29" s="273"/>
      <c r="F29" s="274">
        <f t="shared" si="0"/>
      </c>
    </row>
    <row r="30" spans="1:6" ht="15.75" x14ac:dyDescent="0.25">
      <c r="A30" s="275"/>
      <c r="B30" s="275"/>
      <c r="C30" s="1155"/>
      <c r="D30" s="1160"/>
      <c r="E30" s="273"/>
      <c r="F30" s="274">
        <f t="shared" si="0"/>
      </c>
    </row>
    <row r="31" spans="1:6" ht="15.75" x14ac:dyDescent="0.25">
      <c r="A31" s="275"/>
      <c r="B31" s="275"/>
      <c r="C31" s="1155"/>
      <c r="D31" s="1160"/>
      <c r="E31" s="273"/>
      <c r="F31" s="274">
        <f t="shared" si="0"/>
      </c>
    </row>
    <row r="32" spans="1:6" ht="15.75" x14ac:dyDescent="0.25">
      <c r="A32" s="275"/>
      <c r="B32" s="275"/>
      <c r="C32" s="1155"/>
      <c r="D32" s="1160"/>
      <c r="E32" s="273"/>
      <c r="F32" s="274">
        <f t="shared" si="0"/>
      </c>
    </row>
    <row r="33" spans="1:6" ht="15.75" x14ac:dyDescent="0.25">
      <c r="A33" s="275"/>
      <c r="B33" s="275"/>
      <c r="C33" s="1155"/>
      <c r="D33" s="1160"/>
      <c r="E33" s="273"/>
      <c r="F33" s="274">
        <f t="shared" si="0"/>
      </c>
    </row>
    <row r="34" spans="1:6" ht="15.75" x14ac:dyDescent="0.25">
      <c r="A34" s="275"/>
      <c r="B34" s="275"/>
      <c r="C34" s="1155"/>
      <c r="D34" s="1160"/>
      <c r="E34" s="273"/>
      <c r="F34" s="274">
        <f t="shared" si="0"/>
      </c>
    </row>
    <row r="35" spans="1:6" ht="15.75" x14ac:dyDescent="0.25">
      <c r="A35" s="275"/>
      <c r="B35" s="275"/>
      <c r="C35" s="1155"/>
      <c r="D35" s="1160"/>
      <c r="E35" s="273"/>
      <c r="F35" s="274">
        <f t="shared" si="0"/>
      </c>
    </row>
    <row r="36" spans="1:6" ht="15.75" x14ac:dyDescent="0.25">
      <c r="A36" s="275"/>
      <c r="B36" s="275"/>
      <c r="C36" s="1155"/>
      <c r="D36" s="1160"/>
      <c r="E36" s="273"/>
      <c r="F36" s="274">
        <f t="shared" si="0"/>
      </c>
    </row>
    <row r="37" spans="1:6" ht="15.75" x14ac:dyDescent="0.25">
      <c r="A37" s="278"/>
      <c r="B37" s="261"/>
      <c r="C37" s="1155"/>
      <c r="D37" s="1160"/>
      <c r="E37" s="279"/>
      <c r="F37" s="274">
        <f t="shared" si="0"/>
      </c>
    </row>
    <row r="38" spans="1:6" ht="15.75" x14ac:dyDescent="0.25">
      <c r="A38" s="275"/>
      <c r="B38" s="275"/>
      <c r="C38" s="1155"/>
      <c r="D38" s="1160"/>
      <c r="E38" s="273"/>
      <c r="F38" s="274">
        <f t="shared" si="0"/>
      </c>
    </row>
    <row r="39" spans="1:6" ht="15.75" x14ac:dyDescent="0.25">
      <c r="A39" s="275"/>
      <c r="B39" s="275"/>
      <c r="C39" s="1155"/>
      <c r="D39" s="1160"/>
      <c r="E39" s="273"/>
      <c r="F39" s="274">
        <f t="shared" si="0"/>
      </c>
    </row>
    <row r="40" spans="1:6" ht="15.75" x14ac:dyDescent="0.25">
      <c r="A40" s="275"/>
      <c r="B40" s="275"/>
      <c r="C40" s="1155"/>
      <c r="D40" s="1160"/>
      <c r="E40" s="273"/>
      <c r="F40" s="274">
        <f t="shared" si="0"/>
      </c>
    </row>
    <row r="41" spans="1:6" ht="15.75" x14ac:dyDescent="0.25">
      <c r="A41" s="275"/>
      <c r="B41" s="275"/>
      <c r="C41" s="1161"/>
      <c r="D41" s="1156"/>
      <c r="E41" s="273"/>
      <c r="F41" s="274">
        <f t="shared" si="0"/>
      </c>
    </row>
    <row r="42" spans="1:6" ht="15.75" x14ac:dyDescent="0.25">
      <c r="A42" s="275"/>
      <c r="B42" s="275"/>
      <c r="C42" s="1155"/>
      <c r="D42" s="1160"/>
      <c r="E42" s="273"/>
      <c r="F42" s="274">
        <f t="shared" si="0"/>
      </c>
    </row>
    <row r="43" spans="1:6" ht="15.75" x14ac:dyDescent="0.25">
      <c r="A43" s="275"/>
      <c r="B43" s="275"/>
      <c r="C43" s="1161"/>
      <c r="D43" s="1144"/>
      <c r="E43" s="280"/>
      <c r="F43" s="274">
        <f t="shared" si="0"/>
      </c>
    </row>
    <row r="44" spans="1:6" ht="15.75" x14ac:dyDescent="0.25">
      <c r="A44" s="275"/>
      <c r="B44" s="275"/>
      <c r="C44" s="1161"/>
      <c r="D44" s="1156"/>
      <c r="E44" s="280"/>
      <c r="F44" s="274">
        <f t="shared" si="0"/>
      </c>
    </row>
    <row r="45" spans="1:6" ht="15.75" x14ac:dyDescent="0.25">
      <c r="A45" s="275"/>
      <c r="B45" s="275"/>
      <c r="C45" s="1155"/>
      <c r="D45" s="1156"/>
      <c r="E45" s="280"/>
      <c r="F45" s="274">
        <f>SUM(A45*E45)</f>
      </c>
    </row>
    <row r="46" spans="1:6" ht="15.75" x14ac:dyDescent="0.25">
      <c r="A46" s="279"/>
      <c r="B46" s="281"/>
      <c r="C46" s="1157" t="s">
        <v>376</v>
      </c>
      <c r="D46" s="1144"/>
      <c r="E46" s="281"/>
      <c r="F46" s="279"/>
    </row>
    <row r="47" spans="1:6" ht="15.75" x14ac:dyDescent="0.25">
      <c r="A47" s="278"/>
      <c r="B47" s="261"/>
      <c r="C47" s="282" t="s">
        <v>377</v>
      </c>
      <c r="D47" s="125"/>
      <c r="E47" s="280"/>
      <c r="F47" s="274">
        <f>SUM(A47*E47)</f>
      </c>
    </row>
    <row r="48" spans="1:6" ht="15.75" x14ac:dyDescent="0.25">
      <c r="A48" s="283"/>
      <c r="B48" s="284"/>
      <c r="C48" s="282" t="s">
        <v>378</v>
      </c>
      <c r="D48" s="125"/>
      <c r="E48" s="285"/>
      <c r="F48" s="286">
        <f>SUM(A48*E48)</f>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c>
    </row>
    <row r="9" spans="1:5" ht="15.75" x14ac:dyDescent="0.25">
      <c r="A9" s="275"/>
      <c r="B9" s="278"/>
      <c r="C9" s="306"/>
      <c r="D9" s="305"/>
      <c r="E9" s="274">
        <f>SUM(A9*D9)</f>
      </c>
    </row>
    <row r="10" spans="1:5" ht="15.75" x14ac:dyDescent="0.25">
      <c r="A10" s="275"/>
      <c r="B10" s="278"/>
      <c r="C10" s="306"/>
      <c r="D10" s="305"/>
      <c r="E10" s="274">
        <f t="shared" ref="E10:E39" si="0">SUM(A10*D10)</f>
      </c>
    </row>
    <row r="11" spans="1:5" ht="15.75" x14ac:dyDescent="0.25">
      <c r="A11" s="275"/>
      <c r="B11" s="278"/>
      <c r="C11" s="306"/>
      <c r="D11" s="305"/>
      <c r="E11" s="274">
        <f t="shared" si="0"/>
      </c>
    </row>
    <row r="12" spans="1:5" ht="15.75" x14ac:dyDescent="0.25">
      <c r="A12" s="275"/>
      <c r="B12" s="278"/>
      <c r="C12" s="306"/>
      <c r="D12" s="305"/>
      <c r="E12" s="274">
        <f t="shared" si="0"/>
      </c>
    </row>
    <row r="13" spans="1:5" ht="15.75" x14ac:dyDescent="0.25">
      <c r="A13" s="275"/>
      <c r="B13" s="278"/>
      <c r="C13" s="306"/>
      <c r="D13" s="305"/>
      <c r="E13" s="274">
        <f t="shared" si="0"/>
      </c>
    </row>
    <row r="14" spans="1:5" ht="15.75" x14ac:dyDescent="0.25">
      <c r="A14" s="275"/>
      <c r="B14" s="278"/>
      <c r="C14" s="306"/>
      <c r="D14" s="305"/>
      <c r="E14" s="274">
        <f t="shared" si="0"/>
      </c>
    </row>
    <row r="15" spans="1:5" ht="15.75" x14ac:dyDescent="0.25">
      <c r="A15" s="275"/>
      <c r="B15" s="278"/>
      <c r="C15" s="306"/>
      <c r="D15" s="305"/>
      <c r="E15" s="274">
        <f t="shared" si="0"/>
      </c>
    </row>
    <row r="16" spans="1:5" ht="15.75" x14ac:dyDescent="0.25">
      <c r="A16" s="275"/>
      <c r="B16" s="278"/>
      <c r="C16" s="306"/>
      <c r="D16" s="305"/>
      <c r="E16" s="274">
        <f t="shared" si="0"/>
      </c>
    </row>
    <row r="17" spans="1:5" ht="15.75" x14ac:dyDescent="0.25">
      <c r="A17" s="275"/>
      <c r="B17" s="278"/>
      <c r="C17" s="306"/>
      <c r="D17" s="305"/>
      <c r="E17" s="274">
        <f t="shared" si="0"/>
      </c>
    </row>
    <row r="18" spans="1:5" ht="15.75" x14ac:dyDescent="0.25">
      <c r="A18" s="275"/>
      <c r="B18" s="278"/>
      <c r="C18" s="306"/>
      <c r="D18" s="305"/>
      <c r="E18" s="274">
        <f t="shared" si="0"/>
      </c>
    </row>
    <row r="19" spans="1:5" ht="15.75" x14ac:dyDescent="0.25">
      <c r="A19" s="275"/>
      <c r="B19" s="278"/>
      <c r="C19" s="306"/>
      <c r="D19" s="305"/>
      <c r="E19" s="274">
        <f t="shared" si="0"/>
      </c>
    </row>
    <row r="20" spans="1:5" ht="15.75" x14ac:dyDescent="0.25">
      <c r="A20" s="275"/>
      <c r="B20" s="278"/>
      <c r="C20" s="306"/>
      <c r="D20" s="305"/>
      <c r="E20" s="274">
        <f t="shared" si="0"/>
      </c>
    </row>
    <row r="21" spans="1:5" ht="15.75" x14ac:dyDescent="0.25">
      <c r="A21" s="275"/>
      <c r="B21" s="278"/>
      <c r="C21" s="306"/>
      <c r="D21" s="307"/>
      <c r="E21" s="274">
        <f t="shared" si="0"/>
      </c>
    </row>
    <row r="22" spans="1:5" ht="15.75" x14ac:dyDescent="0.25">
      <c r="A22" s="275"/>
      <c r="B22" s="278"/>
      <c r="C22" s="306"/>
      <c r="D22" s="307"/>
      <c r="E22" s="274">
        <f t="shared" si="0"/>
      </c>
    </row>
    <row r="23" spans="1:5" ht="15.75" x14ac:dyDescent="0.25">
      <c r="A23" s="275"/>
      <c r="B23" s="278"/>
      <c r="C23" s="306"/>
      <c r="D23" s="307"/>
      <c r="E23" s="274">
        <f t="shared" si="0"/>
      </c>
    </row>
    <row r="24" spans="1:5" ht="15.75" x14ac:dyDescent="0.25">
      <c r="A24" s="275"/>
      <c r="B24" s="278"/>
      <c r="C24" s="306"/>
      <c r="D24" s="307"/>
      <c r="E24" s="274">
        <f t="shared" si="0"/>
      </c>
    </row>
    <row r="25" spans="1:5" ht="15.75" x14ac:dyDescent="0.25">
      <c r="A25" s="275"/>
      <c r="B25" s="278"/>
      <c r="C25" s="306"/>
      <c r="D25" s="307"/>
      <c r="E25" s="274">
        <f t="shared" si="0"/>
      </c>
    </row>
    <row r="26" spans="1:5" ht="15.75" x14ac:dyDescent="0.25">
      <c r="A26" s="275"/>
      <c r="B26" s="278"/>
      <c r="C26" s="306"/>
      <c r="D26" s="307"/>
      <c r="E26" s="274">
        <f t="shared" si="0"/>
      </c>
    </row>
    <row r="27" spans="1:5" ht="15.75" x14ac:dyDescent="0.25">
      <c r="A27" s="275"/>
      <c r="B27" s="278"/>
      <c r="C27" s="308"/>
      <c r="D27" s="307"/>
      <c r="E27" s="274">
        <f t="shared" si="0"/>
      </c>
    </row>
    <row r="28" spans="1:5" ht="15.75" x14ac:dyDescent="0.25">
      <c r="A28" s="275"/>
      <c r="B28" s="278"/>
      <c r="C28" s="308"/>
      <c r="D28" s="307"/>
      <c r="E28" s="274">
        <f t="shared" si="0"/>
      </c>
    </row>
    <row r="29" spans="1:5" ht="15.75" x14ac:dyDescent="0.25">
      <c r="A29" s="275"/>
      <c r="B29" s="278"/>
      <c r="C29" s="306"/>
      <c r="D29" s="307"/>
      <c r="E29" s="274">
        <f t="shared" si="0"/>
      </c>
    </row>
    <row r="30" spans="1:5" ht="15.75" x14ac:dyDescent="0.25">
      <c r="A30" s="275"/>
      <c r="B30" s="278"/>
      <c r="C30" s="306"/>
      <c r="D30" s="307"/>
      <c r="E30" s="274">
        <f t="shared" si="0"/>
      </c>
    </row>
    <row r="31" spans="1:5" ht="15.75" x14ac:dyDescent="0.25">
      <c r="A31" s="275"/>
      <c r="B31" s="278"/>
      <c r="C31" s="260"/>
      <c r="D31" s="274"/>
      <c r="E31" s="274">
        <f t="shared" si="0"/>
      </c>
    </row>
    <row r="32" spans="1:5" ht="15.75" x14ac:dyDescent="0.25">
      <c r="A32" s="275"/>
      <c r="B32" s="278"/>
      <c r="C32" s="276"/>
      <c r="D32" s="274"/>
      <c r="E32" s="274">
        <f t="shared" si="0"/>
      </c>
    </row>
    <row r="33" spans="1:5" ht="15.75" x14ac:dyDescent="0.25">
      <c r="A33" s="275"/>
      <c r="B33" s="278"/>
      <c r="C33" s="306"/>
      <c r="D33" s="307"/>
      <c r="E33" s="274">
        <f t="shared" si="0"/>
      </c>
    </row>
    <row r="34" spans="1:5" ht="15.75" x14ac:dyDescent="0.25">
      <c r="A34" s="275"/>
      <c r="B34" s="278"/>
      <c r="C34" s="306"/>
      <c r="D34" s="307"/>
      <c r="E34" s="274">
        <f t="shared" si="0"/>
      </c>
    </row>
    <row r="35" spans="1:5" ht="15.75" x14ac:dyDescent="0.25">
      <c r="A35" s="275"/>
      <c r="B35" s="278"/>
      <c r="C35" s="276"/>
      <c r="D35" s="274"/>
      <c r="E35" s="274">
        <f t="shared" si="0"/>
      </c>
    </row>
    <row r="36" spans="1:5" ht="15.75" x14ac:dyDescent="0.25">
      <c r="A36" s="278"/>
      <c r="B36" s="261"/>
      <c r="C36" s="279"/>
      <c r="D36" s="309"/>
      <c r="E36" s="274">
        <f t="shared" si="0"/>
      </c>
    </row>
    <row r="37" spans="1:5" ht="15.75" x14ac:dyDescent="0.25">
      <c r="A37" s="278"/>
      <c r="B37" s="261"/>
      <c r="C37" s="279"/>
      <c r="D37" s="309"/>
      <c r="E37" s="274">
        <f t="shared" si="0"/>
      </c>
    </row>
    <row r="38" spans="1:5" ht="15.75" x14ac:dyDescent="0.25">
      <c r="A38" s="278"/>
      <c r="B38" s="261"/>
      <c r="C38" s="279"/>
      <c r="D38" s="309"/>
      <c r="E38" s="274">
        <f t="shared" si="0"/>
      </c>
    </row>
    <row r="39" spans="1:5" ht="15.75" x14ac:dyDescent="0.25">
      <c r="A39" s="278"/>
      <c r="B39" s="261"/>
      <c r="C39" s="299"/>
      <c r="D39" s="274"/>
      <c r="E39" s="274">
        <f t="shared" si="0"/>
      </c>
    </row>
    <row r="40" spans="1:5" ht="15.75" x14ac:dyDescent="0.25">
      <c r="A40" s="301"/>
      <c r="B40" s="310"/>
      <c r="C40" s="311" t="s">
        <v>399</v>
      </c>
      <c r="D40" s="312"/>
      <c r="E40" s="301"/>
    </row>
    <row r="41" spans="1:5" ht="16.5" thickBot="1" x14ac:dyDescent="0.3">
      <c r="A41" s="288"/>
      <c r="B41" s="288"/>
      <c r="C41" s="1176" t="s">
        <v>400</v>
      </c>
      <c r="D41" s="1177"/>
      <c r="E41" s="313">
        <f>SUM(E8:E40)</f>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c>
      <c r="E3" s="1269"/>
      <c r="F3" s="1269"/>
      <c r="G3" s="1269"/>
      <c r="H3" s="1270" t="s">
        <v>579</v>
      </c>
      <c r="I3" s="959"/>
      <c r="J3" s="959"/>
      <c r="K3" s="959"/>
    </row>
    <row r="4" spans="1:13" ht="14.45" customHeight="1" x14ac:dyDescent="0.25">
      <c r="A4" s="1271" t="s">
        <v>578</v>
      </c>
      <c r="B4" s="1271"/>
      <c r="C4" s="1210"/>
      <c r="D4" s="1272">
        <f>Formalien!$E$6</f>
      </c>
      <c r="E4" s="1272"/>
      <c r="F4" s="1272"/>
      <c r="G4" s="1273">
        <f>IF(Formalien!$E$5="",Formalien!$E$4,Formalien!$E$4&amp;" / "&amp;Formalien!$E$5)</f>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347" t="s">
        <v>635</v>
      </c>
      <c r="C12" s="1255"/>
      <c r="D12" s="1255"/>
      <c r="E12" s="1256"/>
      <c r="F12" s="1348">
        <v>1</v>
      </c>
      <c r="G12" s="1348"/>
      <c r="H12" s="1349"/>
      <c r="I12" s="1258"/>
      <c r="J12" s="1350">
        <v>1</v>
      </c>
      <c r="K12" s="1330">
        <f>ROUND(F12*H12*J12,2)</f>
      </c>
      <c r="M12" s="1340" t="inlineStr">
        <is>
          <t>bitumenhaltige Stoffe sind entsprechend der GefStoffV i.V.m. der TRGS 519 zu demontieren und zu entsorgen.</t>
        </is>
      </c>
    </row>
    <row r="13" spans="1:13" ht="16.899999999999999" customHeight="1" thickBot="1" x14ac:dyDescent="0.3">
      <c r="A13" s="720"/>
      <c r="B13" s="1351" t="s">
        <v>636</v>
      </c>
      <c r="C13" s="709"/>
      <c r="D13" s="710"/>
      <c r="E13" s="711"/>
      <c r="F13" s="1352"/>
      <c r="G13" s="1352"/>
      <c r="H13" s="1353"/>
      <c r="I13" s="1260"/>
      <c r="J13" s="1354">
        <v>1</v>
      </c>
      <c r="K13" s="1331">
        <f>ROUND(F13*H13*J13,2)</f>
      </c>
      <c r="M13" s="662" t="s">
        <v>584</v>
      </c>
    </row>
    <row r="14" spans="1:13" ht="16.899999999999999" customHeight="1" x14ac:dyDescent="0.25">
      <c r="A14" s="649" t="s">
        <v>81</v>
      </c>
      <c r="B14" s="1355"/>
      <c r="C14" s="1262"/>
      <c r="D14" s="1262"/>
      <c r="E14" s="1263"/>
      <c r="F14" s="1356">
        <v>1</v>
      </c>
      <c r="G14" s="1356"/>
      <c r="H14" s="1357"/>
      <c r="I14" s="1265"/>
      <c r="J14" s="1358">
        <v>1</v>
      </c>
      <c r="K14" s="1332">
        <f>ROUND(F14*H14*J14,2)</f>
      </c>
      <c r="M14" s="662" t="s">
        <v>585</v>
      </c>
    </row>
    <row r="15" spans="1:13" ht="16.899999999999999" customHeight="1" x14ac:dyDescent="0.25">
      <c r="A15" s="649" t="s">
        <v>90</v>
      </c>
      <c r="B15" s="1359"/>
      <c r="C15" s="1239"/>
      <c r="D15" s="1239"/>
      <c r="E15" s="1240"/>
      <c r="F15" s="1360">
        <v>1</v>
      </c>
      <c r="G15" s="1360"/>
      <c r="H15" s="1361"/>
      <c r="I15" s="1244"/>
      <c r="J15" s="1362">
        <v>1</v>
      </c>
      <c r="K15" s="1333">
        <f>ROUND(F15*H15*J15,2)</f>
      </c>
      <c r="M15" s="662" t="s">
        <v>589</v>
      </c>
    </row>
    <row r="16" spans="1:13" ht="16.899999999999999" customHeight="1" x14ac:dyDescent="0.25">
      <c r="A16" s="649" t="s">
        <v>93</v>
      </c>
      <c r="B16" s="1359"/>
      <c r="C16" s="1239"/>
      <c r="D16" s="1239"/>
      <c r="E16" s="1240"/>
      <c r="F16" s="1360">
        <v>1</v>
      </c>
      <c r="G16" s="1360"/>
      <c r="H16" s="1361"/>
      <c r="I16" s="1244"/>
      <c r="J16" s="1362">
        <v>1</v>
      </c>
      <c r="K16" s="1333">
        <f>ROUND(F16*H16*J16,2)</f>
      </c>
      <c r="M16" s="664" t="s">
        <v>593</v>
      </c>
    </row>
    <row r="17" spans="1:15" ht="16.899999999999999" customHeight="1" x14ac:dyDescent="0.25">
      <c r="A17" s="649" t="s">
        <v>98</v>
      </c>
      <c r="B17" s="1359"/>
      <c r="C17" s="1239"/>
      <c r="D17" s="1239"/>
      <c r="E17" s="1240"/>
      <c r="F17" s="1360">
        <v>1</v>
      </c>
      <c r="G17" s="1360"/>
      <c r="H17" s="1361"/>
      <c r="I17" s="1244"/>
      <c r="J17" s="1362">
        <v>1</v>
      </c>
      <c r="K17" s="1333">
        <f>ROUND(F17*H17*J17,2)</f>
      </c>
      <c r="M17" s="702" t="s">
        <v>604</v>
      </c>
    </row>
    <row r="18" spans="1:15" ht="16.899999999999999" customHeight="1" x14ac:dyDescent="0.25">
      <c r="A18" s="649" t="s">
        <v>101</v>
      </c>
      <c r="B18" s="1359"/>
      <c r="C18" s="1239"/>
      <c r="D18" s="1239"/>
      <c r="E18" s="1240"/>
      <c r="F18" s="1360">
        <v>1</v>
      </c>
      <c r="G18" s="1360"/>
      <c r="H18" s="1361"/>
      <c r="I18" s="1244"/>
      <c r="J18" s="1362">
        <v>1</v>
      </c>
      <c r="K18" s="1333">
        <f>ROUND(F18*H18*J18,2)</f>
      </c>
      <c r="M18" s="702" t="s">
        <v>605</v>
      </c>
    </row>
    <row r="19" spans="1:15" ht="16.899999999999999" customHeight="1" x14ac:dyDescent="0.25">
      <c r="A19" s="649" t="s">
        <v>609</v>
      </c>
      <c r="B19" s="1363"/>
      <c r="C19" s="700"/>
      <c r="D19" s="700"/>
      <c r="E19" s="701"/>
      <c r="F19" s="1360">
        <v>1</v>
      </c>
      <c r="G19" s="1360"/>
      <c r="H19" s="1364"/>
      <c r="I19" s="1246"/>
      <c r="J19" s="1362">
        <v>1</v>
      </c>
      <c r="K19" s="1333">
        <f>ROUND(F19*H19*J19,2)</f>
      </c>
      <c r="M19" s="702"/>
    </row>
    <row r="20" spans="1:15" ht="16.899999999999999" customHeight="1" x14ac:dyDescent="0.25">
      <c r="A20" s="649" t="s">
        <v>610</v>
      </c>
      <c r="B20" s="1359"/>
      <c r="C20" s="1239"/>
      <c r="D20" s="1239"/>
      <c r="E20" s="1240"/>
      <c r="F20" s="1360">
        <v>1</v>
      </c>
      <c r="G20" s="1360"/>
      <c r="H20" s="1361"/>
      <c r="I20" s="1244"/>
      <c r="J20" s="1362">
        <v>1</v>
      </c>
      <c r="K20" s="1333">
        <f>ROUND(F20*H20*J20,2)</f>
      </c>
      <c r="M20" s="702" t="s">
        <v>606</v>
      </c>
    </row>
    <row r="21" spans="1:15" ht="16.899999999999999" customHeight="1" x14ac:dyDescent="0.25">
      <c r="A21" s="649" t="s">
        <v>103</v>
      </c>
      <c r="B21" s="1359"/>
      <c r="C21" s="1239"/>
      <c r="D21" s="1239"/>
      <c r="E21" s="1240"/>
      <c r="F21" s="1360">
        <v>1</v>
      </c>
      <c r="G21" s="1360"/>
      <c r="H21" s="1364"/>
      <c r="I21" s="1246"/>
      <c r="J21" s="1362">
        <v>1</v>
      </c>
      <c r="K21" s="1333">
        <f>ROUND(F21*H21*J21,2)</f>
      </c>
      <c r="M21" s="702" t="s">
        <v>590</v>
      </c>
    </row>
    <row r="22" spans="1:15" ht="16.899999999999999" customHeight="1" x14ac:dyDescent="0.25">
      <c r="A22" s="649" t="s">
        <v>105</v>
      </c>
      <c r="B22" s="1359"/>
      <c r="C22" s="1239"/>
      <c r="D22" s="1239"/>
      <c r="E22" s="1240"/>
      <c r="F22" s="1365"/>
      <c r="G22" s="1360"/>
      <c r="H22" s="1361"/>
      <c r="I22" s="1244"/>
      <c r="J22" s="1362"/>
      <c r="K22" s="1333">
        <f>ROUND(F22*H22*J22,2)</f>
      </c>
      <c r="M22" s="662" t="s">
        <v>586</v>
      </c>
    </row>
    <row r="23" spans="1:15" ht="16.899999999999999" customHeight="1" thickBot="1" x14ac:dyDescent="0.3">
      <c r="A23" s="649" t="s">
        <v>109</v>
      </c>
      <c r="B23" s="1366"/>
      <c r="C23" s="700"/>
      <c r="D23" s="700"/>
      <c r="E23" s="731"/>
      <c r="F23" s="1360"/>
      <c r="G23" s="1367"/>
      <c r="H23" s="1361"/>
      <c r="I23" s="1244"/>
      <c r="J23" s="1362"/>
      <c r="K23" s="1331">
        <f>ROUND(F23*H23*J23,2)</f>
      </c>
      <c r="M23" s="702" t="s">
        <v>591</v>
      </c>
    </row>
    <row r="24" spans="1:15" ht="16.899999999999999" customHeight="1" thickBot="1" x14ac:dyDescent="0.3">
      <c r="A24" s="1346"/>
      <c r="B24" s="1238"/>
      <c r="C24" s="1239"/>
      <c r="D24" s="1239"/>
      <c r="E24" s="1240"/>
      <c r="F24" s="648"/>
      <c r="G24" s="1241" t="s">
        <v>639</v>
      </c>
      <c r="H24" s="1242"/>
      <c r="I24" s="1242"/>
      <c r="J24" s="1242"/>
      <c r="K24" s="733">
        <f>SUM(K12:K23)</f>
      </c>
      <c r="M24" s="655" t="s">
        <v>592</v>
      </c>
    </row>
    <row r="25" spans="1:15" ht="18" customHeight="1" thickBot="1" x14ac:dyDescent="0.3">
      <c r="A25" s="1216" t="s">
        <v>569</v>
      </c>
      <c r="B25" s="1217"/>
      <c r="C25" s="1218"/>
      <c r="D25" s="1218"/>
      <c r="E25" s="1219"/>
      <c r="F25" s="834"/>
      <c r="G25" s="834"/>
      <c r="H25" s="834"/>
      <c r="I25" s="834"/>
      <c r="J25" s="834"/>
      <c r="K25" s="1220"/>
      <c r="M25" s="1341" t="inlineStr">
        <is>
          <t>Well-/Ebenasbest ist Sondermüll, es ist entsprechend der GefStoffV i.V.m. der TRGS 519 zu demontieren und zu entsorgen.</t>
        </is>
      </c>
      <c r="O25" s="627"/>
    </row>
    <row r="26" spans="1:15" ht="18" customHeight="1" x14ac:dyDescent="0.2">
      <c r="A26" s="1338"/>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1339" t="inlineStr">
        <is>
          <t>Außenhecke auf zul. Höhe (1,25 m) schneiden</t>
        </is>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342" t="inlineStr">
        <is>
          <t>2. Zu entfernende Außenanlagen laut Skizze Außenanlagen-Aufwuchs</t>
        </is>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368"/>
      <c r="C34" s="1212"/>
      <c r="D34" s="1212"/>
      <c r="E34" s="1213"/>
      <c r="F34" s="1369">
        <v>1</v>
      </c>
      <c r="G34" s="1356"/>
      <c r="H34" s="1370"/>
      <c r="I34" s="1215"/>
      <c r="J34" s="1358">
        <v>1</v>
      </c>
      <c r="K34" s="1334">
        <f>ROUND(F34*H34*J34,2)</f>
      </c>
      <c r="M34" s="664" t="s">
        <v>593</v>
      </c>
    </row>
    <row r="35" spans="1:14" ht="16.899999999999999" customHeight="1" x14ac:dyDescent="0.25">
      <c r="A35" s="742" t="s">
        <v>81</v>
      </c>
      <c r="B35" s="1371"/>
      <c r="C35" s="1197"/>
      <c r="D35" s="1197"/>
      <c r="E35" s="1198"/>
      <c r="F35" s="1365"/>
      <c r="G35" s="1360"/>
      <c r="H35" s="1372"/>
      <c r="I35" s="1200"/>
      <c r="J35" s="1362">
        <v>1</v>
      </c>
      <c r="K35" s="1335">
        <f>ROUND(F35*H35*J35,2)</f>
      </c>
      <c r="M35" s="664" t="s">
        <v>601</v>
      </c>
    </row>
    <row r="36" spans="1:14" ht="16.899999999999999" customHeight="1" x14ac:dyDescent="0.25">
      <c r="A36" s="742" t="s">
        <v>90</v>
      </c>
      <c r="B36" s="1371"/>
      <c r="C36" s="1197"/>
      <c r="D36" s="1197"/>
      <c r="E36" s="1198"/>
      <c r="F36" s="1365"/>
      <c r="G36" s="1360"/>
      <c r="H36" s="1372"/>
      <c r="I36" s="1200"/>
      <c r="J36" s="1362">
        <v>1</v>
      </c>
      <c r="K36" s="1335">
        <f>ROUND(F36*H36*J36,2)</f>
      </c>
      <c r="M36" s="665" t="s">
        <v>607</v>
      </c>
    </row>
    <row r="37" spans="1:14" ht="16.899999999999999" customHeight="1" x14ac:dyDescent="0.25">
      <c r="A37" s="742" t="s">
        <v>93</v>
      </c>
      <c r="B37" s="1371"/>
      <c r="C37" s="1197"/>
      <c r="D37" s="1197"/>
      <c r="E37" s="1198"/>
      <c r="F37" s="1365"/>
      <c r="G37" s="1360"/>
      <c r="H37" s="1372"/>
      <c r="I37" s="1200"/>
      <c r="J37" s="1362">
        <v>1</v>
      </c>
      <c r="K37" s="1335">
        <f>ROUND(F37*H37*J37,2)</f>
      </c>
      <c r="L37" s="623"/>
      <c r="M37" s="664" t="s">
        <v>602</v>
      </c>
    </row>
    <row r="38" spans="1:14" ht="16.899999999999999" customHeight="1" x14ac:dyDescent="0.25">
      <c r="A38" s="742" t="s">
        <v>98</v>
      </c>
      <c r="B38" s="1371"/>
      <c r="C38" s="1197"/>
      <c r="D38" s="1197"/>
      <c r="E38" s="1198"/>
      <c r="F38" s="1365"/>
      <c r="G38" s="1360"/>
      <c r="H38" s="1372"/>
      <c r="I38" s="1200"/>
      <c r="J38" s="1362">
        <v>1</v>
      </c>
      <c r="K38" s="1335">
        <f>ROUND(F38*H38*J38,2)</f>
      </c>
      <c r="M38" s="664" t="s">
        <v>599</v>
      </c>
      <c r="N38" s="624">
        <v>1</v>
      </c>
    </row>
    <row r="39" spans="1:14" ht="16.899999999999999" customHeight="1" x14ac:dyDescent="0.25">
      <c r="A39" s="742" t="s">
        <v>101</v>
      </c>
      <c r="B39" s="1371"/>
      <c r="C39" s="1197"/>
      <c r="D39" s="1197"/>
      <c r="E39" s="1198"/>
      <c r="F39" s="1365"/>
      <c r="G39" s="1360"/>
      <c r="H39" s="1372"/>
      <c r="I39" s="1200"/>
      <c r="J39" s="1362">
        <v>1</v>
      </c>
      <c r="K39" s="1335">
        <f>ROUND(F39*H39*J39,2)</f>
      </c>
      <c r="M39" s="664" t="s">
        <v>594</v>
      </c>
    </row>
    <row r="40" spans="1:14" ht="16.899999999999999" customHeight="1" x14ac:dyDescent="0.25">
      <c r="A40" s="742" t="s">
        <v>609</v>
      </c>
      <c r="B40" s="1371"/>
      <c r="C40" s="1197"/>
      <c r="D40" s="1197"/>
      <c r="E40" s="1198"/>
      <c r="F40" s="1365"/>
      <c r="G40" s="1360"/>
      <c r="H40" s="1372"/>
      <c r="I40" s="1200"/>
      <c r="J40" s="1362">
        <v>1</v>
      </c>
      <c r="K40" s="1335">
        <f>ROUND(F40*H40*J40,2)</f>
      </c>
      <c r="M40" s="664" t="s">
        <v>600</v>
      </c>
    </row>
    <row r="41" spans="1:14" ht="16.899999999999999" customHeight="1" x14ac:dyDescent="0.25">
      <c r="A41" s="742" t="s">
        <v>610</v>
      </c>
      <c r="B41" s="1371"/>
      <c r="C41" s="1197"/>
      <c r="D41" s="1197"/>
      <c r="E41" s="1198"/>
      <c r="F41" s="1365"/>
      <c r="G41" s="1360"/>
      <c r="H41" s="1372"/>
      <c r="I41" s="1200"/>
      <c r="J41" s="1362">
        <v>1</v>
      </c>
      <c r="K41" s="1335">
        <f>ROUND(F41*H41*J41,2)</f>
      </c>
      <c r="M41" s="664" t="s">
        <v>603</v>
      </c>
    </row>
    <row r="42" spans="1:14" ht="16.899999999999999" customHeight="1" x14ac:dyDescent="0.25">
      <c r="A42" s="742" t="s">
        <v>103</v>
      </c>
      <c r="B42" s="1371"/>
      <c r="C42" s="1197"/>
      <c r="D42" s="1197"/>
      <c r="E42" s="1198"/>
      <c r="F42" s="1365"/>
      <c r="G42" s="1360"/>
      <c r="H42" s="1372"/>
      <c r="I42" s="1200"/>
      <c r="J42" s="1362">
        <v>1</v>
      </c>
      <c r="K42" s="1335">
        <f>ROUND(F42*H42*J42,2)</f>
      </c>
    </row>
    <row r="43" spans="1:14" ht="16.899999999999999" customHeight="1" x14ac:dyDescent="0.25">
      <c r="A43" s="1344" t="inlineStr">
        <is>
          <t>10.</t>
        </is>
      </c>
      <c r="B43" s="1371"/>
      <c r="C43" s="1197"/>
      <c r="D43" s="1197"/>
      <c r="E43" s="1198"/>
      <c r="F43" s="1365"/>
      <c r="G43" s="1360"/>
      <c r="H43" s="1372"/>
      <c r="I43" s="1200"/>
      <c r="J43" s="1362">
        <v>1</v>
      </c>
      <c r="K43" s="1335">
        <f>ROUND(F43*H43*J43,2)</f>
      </c>
    </row>
    <row r="44" spans="1:14" ht="16.899999999999999" customHeight="1" thickBot="1" x14ac:dyDescent="0.3">
      <c r="A44" s="1345" t="inlineStr">
        <is>
          <t>11.</t>
        </is>
      </c>
      <c r="B44" s="1373"/>
      <c r="C44" s="1202"/>
      <c r="D44" s="1202"/>
      <c r="E44" s="1203"/>
      <c r="F44" s="1365"/>
      <c r="G44" s="1360"/>
      <c r="H44" s="1372"/>
      <c r="I44" s="1200"/>
      <c r="J44" s="1374">
        <v>1</v>
      </c>
      <c r="K44" s="1336">
        <f>ROUND(F44*H44*J44,2)</f>
      </c>
    </row>
    <row r="45" spans="1:14" ht="16.899999999999999" customHeight="1" thickBot="1" x14ac:dyDescent="0.3">
      <c r="A45" s="193"/>
      <c r="B45" s="747"/>
      <c r="C45" s="615"/>
      <c r="D45" s="615"/>
      <c r="E45" s="615"/>
      <c r="F45" s="748"/>
      <c r="G45" s="748"/>
      <c r="H45" s="749"/>
      <c r="I45" s="750"/>
      <c r="J45" s="751" t="s">
        <v>639</v>
      </c>
      <c r="K45" s="752">
        <f>SUM(K34:K44)</f>
      </c>
    </row>
    <row r="46" spans="1:14" ht="16.899999999999999" customHeight="1" x14ac:dyDescent="0.25">
      <c r="A46" s="1343" t="inlineStr">
        <is>
          <t>In der Zeit vom 1. März bis 30. September eines jeden Jahres dürfen aus Gründen des Naturschutzes, insbesondere des</t>
        </is>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c>
      <c r="E60" s="1189" t="s">
        <v>121</v>
      </c>
      <c r="F60" s="872"/>
      <c r="G60" s="1190">
        <f>Formalien!$E$12</f>
      </c>
      <c r="H60" s="1190"/>
      <c r="I60" s="656" t="s">
        <v>110</v>
      </c>
      <c r="J60" s="1291">
        <f>Formalien!$E$13</f>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legacy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c>
      <c r="E2" s="929"/>
      <c r="F2" s="364" t="s">
        <v>519</v>
      </c>
      <c r="G2" s="369">
        <f>Formalien!$E$4</f>
      </c>
      <c r="H2" s="369"/>
    </row>
    <row r="3" spans="1:8" s="1" customFormat="1" ht="15.6" customHeight="1" x14ac:dyDescent="0.25">
      <c r="A3" s="849" t="s">
        <v>65</v>
      </c>
      <c r="B3" s="795"/>
      <c r="C3" s="795"/>
      <c r="D3" s="537">
        <f>Formalien!$E$16</f>
      </c>
      <c r="E3" s="364"/>
      <c r="F3" s="1283">
        <f>Formalien!$E$5</f>
      </c>
      <c r="G3" s="1205"/>
      <c r="H3" s="79"/>
    </row>
    <row r="4" spans="1:8" s="1" customFormat="1" ht="15.6" customHeight="1" x14ac:dyDescent="0.25">
      <c r="A4" s="849" t="s">
        <v>0</v>
      </c>
      <c r="B4" s="795"/>
      <c r="C4" s="795"/>
      <c r="D4" s="849">
        <f>Formalien!$E$6</f>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c>
      <c r="D50" s="3" t="s">
        <v>121</v>
      </c>
      <c r="E50" s="1190">
        <f>Formalien!$E$12</f>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1397" t="inlineStr">
        <is>
          <t>Skizze – Außenanlagen und Aufwuchs</t>
        </is>
      </c>
      <c r="B1" s="507"/>
      <c r="C1" s="570"/>
      <c r="D1" s="566"/>
      <c r="E1" s="566"/>
      <c r="F1" s="339"/>
      <c r="G1" s="339"/>
      <c r="H1" s="339"/>
    </row>
    <row r="2" spans="1:8" s="1" customFormat="1" ht="15.6" customHeight="1" x14ac:dyDescent="0.25">
      <c r="A2" s="849" t="s">
        <v>1</v>
      </c>
      <c r="B2" s="850"/>
      <c r="C2" s="850"/>
      <c r="D2" s="929">
        <f>Formalien!$E$3</f>
      </c>
      <c r="E2" s="929"/>
      <c r="F2" s="364" t="s">
        <v>519</v>
      </c>
      <c r="G2" s="369">
        <f>Formalien!$E$4</f>
      </c>
      <c r="H2" s="369"/>
    </row>
    <row r="3" spans="1:8" s="1" customFormat="1" ht="15.6" customHeight="1" x14ac:dyDescent="0.25">
      <c r="A3" s="849" t="s">
        <v>65</v>
      </c>
      <c r="B3" s="795"/>
      <c r="C3" s="795"/>
      <c r="D3" s="537">
        <f>Formalien!$E$16</f>
      </c>
      <c r="E3" s="364"/>
      <c r="F3" s="1283">
        <f>Formalien!$E$5</f>
      </c>
      <c r="G3" s="1205"/>
      <c r="H3" s="79"/>
    </row>
    <row r="4" spans="1:8" s="1" customFormat="1" ht="15.6" customHeight="1" x14ac:dyDescent="0.25">
      <c r="A4" s="849" t="s">
        <v>0</v>
      </c>
      <c r="B4" s="795"/>
      <c r="C4" s="795"/>
      <c r="D4" s="849">
        <f>Formalien!$E$6</f>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c>
      <c r="D50" s="3" t="s">
        <v>121</v>
      </c>
      <c r="E50" s="1284">
        <f>Formalien!$E$13</f>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legacy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400"/>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400">
        <v>10</v>
      </c>
      <c r="F44" s="160">
        <v>0</v>
      </c>
    </row>
    <row r="45" spans="2:6" x14ac:dyDescent="0.25">
      <c r="B45" s="160">
        <v>42</v>
      </c>
      <c r="C45" s="160">
        <v>37.6</v>
      </c>
      <c r="D45" s="160">
        <v>24</v>
      </c>
      <c r="E45" s="1400">
        <v>10</v>
      </c>
      <c r="F45" s="160">
        <v>0</v>
      </c>
    </row>
    <row r="46" spans="2:6" x14ac:dyDescent="0.25">
      <c r="B46" s="160">
        <v>43</v>
      </c>
      <c r="C46" s="160">
        <v>36.4</v>
      </c>
      <c r="D46" s="160">
        <v>23</v>
      </c>
      <c r="E46" s="1400">
        <v>10</v>
      </c>
      <c r="F46" s="160">
        <v>0</v>
      </c>
    </row>
    <row r="47" spans="2:6" x14ac:dyDescent="0.25">
      <c r="B47" s="160">
        <v>44</v>
      </c>
      <c r="C47" s="160">
        <v>35.200000000000003</v>
      </c>
      <c r="D47" s="160">
        <v>22</v>
      </c>
      <c r="E47" s="1400">
        <v>10</v>
      </c>
      <c r="F47" s="160">
        <v>0</v>
      </c>
    </row>
    <row r="48" spans="2:6" x14ac:dyDescent="0.25">
      <c r="B48" s="160">
        <v>45</v>
      </c>
      <c r="C48" s="160">
        <v>34</v>
      </c>
      <c r="D48" s="160">
        <v>21</v>
      </c>
      <c r="E48" s="1400">
        <v>10</v>
      </c>
      <c r="F48" s="160">
        <v>0</v>
      </c>
    </row>
    <row r="49" spans="2:14" x14ac:dyDescent="0.25">
      <c r="B49" s="160">
        <v>46</v>
      </c>
      <c r="C49" s="160">
        <v>33</v>
      </c>
      <c r="D49" s="160">
        <v>20.399999999999999</v>
      </c>
      <c r="E49" s="1400">
        <v>10</v>
      </c>
      <c r="F49" s="160">
        <v>0</v>
      </c>
    </row>
    <row r="50" spans="2:14" x14ac:dyDescent="0.25">
      <c r="B50" s="160">
        <v>47</v>
      </c>
      <c r="C50" s="160">
        <v>32</v>
      </c>
      <c r="D50" s="160">
        <v>19.8</v>
      </c>
      <c r="E50" s="1400">
        <v>10</v>
      </c>
      <c r="F50" s="160">
        <v>0</v>
      </c>
    </row>
    <row r="51" spans="2:14" x14ac:dyDescent="0.25">
      <c r="B51" s="160">
        <v>48</v>
      </c>
      <c r="C51" s="160">
        <v>31</v>
      </c>
      <c r="D51" s="160">
        <v>19.2</v>
      </c>
      <c r="E51" s="1400">
        <v>10</v>
      </c>
      <c r="F51" s="160">
        <v>0</v>
      </c>
    </row>
    <row r="52" spans="2:14" x14ac:dyDescent="0.25">
      <c r="B52" s="160">
        <v>49</v>
      </c>
      <c r="C52" s="160">
        <v>30</v>
      </c>
      <c r="D52" s="160">
        <v>18.600000000000001</v>
      </c>
      <c r="E52" s="1400">
        <v>10</v>
      </c>
      <c r="F52" s="160">
        <v>0</v>
      </c>
      <c r="I52" s="129"/>
      <c r="J52" s="129" t="s">
        <v>347</v>
      </c>
      <c r="K52" s="168">
        <v>2</v>
      </c>
      <c r="L52" s="168">
        <v>3</v>
      </c>
      <c r="M52" s="168">
        <v>4</v>
      </c>
      <c r="N52" s="168">
        <v>5</v>
      </c>
    </row>
    <row r="53" spans="2:14" x14ac:dyDescent="0.25">
      <c r="B53" s="160">
        <v>50</v>
      </c>
      <c r="C53" s="160">
        <v>29</v>
      </c>
      <c r="D53" s="160">
        <v>18</v>
      </c>
      <c r="E53" s="1400">
        <v>10</v>
      </c>
      <c r="F53" s="160">
        <v>0</v>
      </c>
      <c r="J53" s="76" t="s">
        <v>343</v>
      </c>
      <c r="K53" s="76" t="s">
        <v>44</v>
      </c>
      <c r="L53" s="76" t="s">
        <v>344</v>
      </c>
      <c r="M53" s="76" t="s">
        <v>46</v>
      </c>
      <c r="N53" s="76" t="s">
        <v>345</v>
      </c>
    </row>
    <row r="54" spans="2:14" x14ac:dyDescent="0.25">
      <c r="B54" s="160">
        <v>51</v>
      </c>
      <c r="C54" s="160">
        <v>28.2</v>
      </c>
      <c r="D54" s="160">
        <v>17.5</v>
      </c>
      <c r="E54" s="1400">
        <v>10</v>
      </c>
      <c r="F54" s="160">
        <v>0</v>
      </c>
      <c r="I54" t="s">
        <v>348</v>
      </c>
      <c r="J54" s="161" t="s">
        <v>324</v>
      </c>
      <c r="K54" s="173" t="s">
        <v>168</v>
      </c>
      <c r="L54" s="174">
        <v>325</v>
      </c>
      <c r="M54" s="174"/>
      <c r="N54" s="175">
        <v>4</v>
      </c>
    </row>
    <row r="55" spans="2:14" x14ac:dyDescent="0.25">
      <c r="B55" s="160">
        <v>52</v>
      </c>
      <c r="C55" s="160">
        <v>27.4</v>
      </c>
      <c r="D55" s="160">
        <v>17</v>
      </c>
      <c r="E55" s="1400">
        <v>10</v>
      </c>
      <c r="F55" s="160">
        <v>0</v>
      </c>
      <c r="J55" s="162" t="s">
        <v>322</v>
      </c>
      <c r="K55" s="169" t="s">
        <v>164</v>
      </c>
      <c r="L55" s="76">
        <v>420</v>
      </c>
      <c r="M55" s="76"/>
      <c r="N55" s="171">
        <v>3</v>
      </c>
    </row>
    <row r="56" spans="2:14" x14ac:dyDescent="0.25">
      <c r="B56" s="160">
        <v>53</v>
      </c>
      <c r="C56" s="160">
        <v>26.6</v>
      </c>
      <c r="D56" s="160">
        <v>16.5</v>
      </c>
      <c r="E56" s="1400">
        <v>10</v>
      </c>
      <c r="F56" s="160">
        <v>0</v>
      </c>
      <c r="J56" s="162" t="s">
        <v>323</v>
      </c>
      <c r="K56" s="169" t="s">
        <v>165</v>
      </c>
      <c r="L56" s="76">
        <v>555</v>
      </c>
      <c r="M56" s="76"/>
      <c r="N56" s="171">
        <v>3</v>
      </c>
    </row>
    <row r="57" spans="2:14" x14ac:dyDescent="0.25">
      <c r="B57" s="160">
        <v>54</v>
      </c>
      <c r="C57" s="160">
        <v>25.8</v>
      </c>
      <c r="D57" s="160">
        <v>16</v>
      </c>
      <c r="E57" s="1400">
        <v>10</v>
      </c>
      <c r="F57" s="160">
        <v>0</v>
      </c>
      <c r="J57" s="162" t="s">
        <v>220</v>
      </c>
      <c r="K57" s="169" t="s">
        <v>169</v>
      </c>
      <c r="L57" s="76">
        <v>420</v>
      </c>
      <c r="M57" s="76"/>
      <c r="N57" s="171">
        <v>4</v>
      </c>
    </row>
    <row r="58" spans="2:14" x14ac:dyDescent="0.25">
      <c r="B58" s="160">
        <v>55</v>
      </c>
      <c r="C58" s="160">
        <v>25</v>
      </c>
      <c r="D58" s="160">
        <v>15.5</v>
      </c>
      <c r="E58" s="1400">
        <v>10</v>
      </c>
      <c r="F58" s="160">
        <v>0</v>
      </c>
      <c r="J58" s="162" t="s">
        <v>311</v>
      </c>
      <c r="K58" s="169" t="s">
        <v>166</v>
      </c>
      <c r="L58" s="76">
        <v>672</v>
      </c>
      <c r="M58" s="76"/>
      <c r="N58" s="171">
        <v>3</v>
      </c>
    </row>
    <row r="59" spans="2:14" x14ac:dyDescent="0.25">
      <c r="B59" s="160">
        <v>56</v>
      </c>
      <c r="C59" s="160">
        <v>24.2</v>
      </c>
      <c r="D59" s="160">
        <v>14.4</v>
      </c>
      <c r="E59" s="1400">
        <v>10</v>
      </c>
      <c r="F59" s="160">
        <v>0</v>
      </c>
      <c r="J59" s="162" t="s">
        <v>306</v>
      </c>
      <c r="K59" s="169" t="s">
        <v>167</v>
      </c>
      <c r="L59" s="76">
        <v>265</v>
      </c>
      <c r="M59" s="76"/>
      <c r="N59" s="171">
        <v>4</v>
      </c>
    </row>
    <row r="60" spans="2:14" x14ac:dyDescent="0.25">
      <c r="B60" s="160">
        <v>57</v>
      </c>
      <c r="C60" s="160">
        <v>23.4</v>
      </c>
      <c r="D60" s="160">
        <v>13.3</v>
      </c>
      <c r="E60" s="1400">
        <v>10</v>
      </c>
      <c r="F60" s="160">
        <v>0</v>
      </c>
      <c r="J60" s="164" t="s">
        <v>316</v>
      </c>
      <c r="K60" s="169" t="s">
        <v>164</v>
      </c>
      <c r="L60" s="76">
        <v>420</v>
      </c>
      <c r="M60" s="76"/>
      <c r="N60" s="171">
        <v>3</v>
      </c>
    </row>
    <row r="61" spans="2:14" x14ac:dyDescent="0.25">
      <c r="B61" s="160">
        <v>58</v>
      </c>
      <c r="C61" s="160">
        <v>22.6</v>
      </c>
      <c r="D61" s="160">
        <v>12.2</v>
      </c>
      <c r="E61" s="1400">
        <v>10</v>
      </c>
      <c r="F61" s="160">
        <v>0</v>
      </c>
      <c r="J61" s="164" t="s">
        <v>317</v>
      </c>
      <c r="K61" s="169" t="s">
        <v>165</v>
      </c>
      <c r="L61" s="76">
        <v>555</v>
      </c>
      <c r="M61" s="76"/>
      <c r="N61" s="171">
        <v>3</v>
      </c>
    </row>
    <row r="62" spans="2:14" x14ac:dyDescent="0.25">
      <c r="B62" s="160">
        <v>59</v>
      </c>
      <c r="C62" s="160">
        <v>21.8</v>
      </c>
      <c r="D62" s="160">
        <v>11.1</v>
      </c>
      <c r="E62" s="1400">
        <v>10</v>
      </c>
      <c r="F62" s="160">
        <v>0</v>
      </c>
      <c r="J62" s="164" t="s">
        <v>315</v>
      </c>
      <c r="K62" s="169" t="s">
        <v>166</v>
      </c>
      <c r="L62" s="76">
        <v>672</v>
      </c>
      <c r="M62" s="76"/>
      <c r="N62" s="171">
        <v>3</v>
      </c>
    </row>
    <row r="63" spans="2:14" x14ac:dyDescent="0.25">
      <c r="B63" s="160">
        <v>60</v>
      </c>
      <c r="C63" s="160">
        <v>21</v>
      </c>
      <c r="D63" s="160">
        <v>10</v>
      </c>
      <c r="E63" s="1400">
        <v>10</v>
      </c>
      <c r="F63" s="160">
        <v>0</v>
      </c>
      <c r="J63" s="163" t="s">
        <v>325</v>
      </c>
      <c r="K63" s="169" t="s">
        <v>168</v>
      </c>
      <c r="L63" s="76">
        <v>325</v>
      </c>
      <c r="M63" s="76"/>
      <c r="N63" s="171">
        <v>4</v>
      </c>
    </row>
    <row r="64" spans="2:14" x14ac:dyDescent="0.25">
      <c r="B64" s="160">
        <v>61</v>
      </c>
      <c r="C64" s="160">
        <v>20.3</v>
      </c>
      <c r="D64" s="1400">
        <v>10</v>
      </c>
      <c r="E64" s="1400">
        <v>10</v>
      </c>
      <c r="F64" s="160">
        <v>0</v>
      </c>
      <c r="J64" s="163" t="s">
        <v>326</v>
      </c>
      <c r="K64" s="57" t="s">
        <v>169</v>
      </c>
      <c r="L64" s="76">
        <v>420</v>
      </c>
      <c r="M64" s="76"/>
      <c r="N64" s="171">
        <v>4</v>
      </c>
    </row>
    <row r="65" spans="2:14" x14ac:dyDescent="0.25">
      <c r="B65" s="160">
        <v>62</v>
      </c>
      <c r="C65" s="160">
        <v>19.600000000000001</v>
      </c>
      <c r="D65" s="1400">
        <v>10</v>
      </c>
      <c r="E65" s="1400">
        <v>10</v>
      </c>
      <c r="F65" s="160">
        <v>0</v>
      </c>
      <c r="J65" s="162" t="s">
        <v>307</v>
      </c>
      <c r="K65" s="169" t="s">
        <v>167</v>
      </c>
      <c r="L65" s="76">
        <v>265</v>
      </c>
      <c r="M65" s="76"/>
      <c r="N65" s="171">
        <v>4</v>
      </c>
    </row>
    <row r="66" spans="2:14" x14ac:dyDescent="0.25">
      <c r="B66" s="160">
        <v>63</v>
      </c>
      <c r="C66" s="160">
        <v>18.899999999999999</v>
      </c>
      <c r="D66" s="1400">
        <v>10</v>
      </c>
      <c r="E66" s="1400">
        <v>10</v>
      </c>
      <c r="F66" s="160">
        <v>0</v>
      </c>
      <c r="J66" s="163" t="s">
        <v>294</v>
      </c>
      <c r="K66" s="135">
        <v>0</v>
      </c>
      <c r="L66" s="76">
        <v>0</v>
      </c>
      <c r="M66" s="76"/>
      <c r="N66" s="171">
        <v>5</v>
      </c>
    </row>
    <row r="67" spans="2:14" x14ac:dyDescent="0.25">
      <c r="B67" s="160">
        <v>64</v>
      </c>
      <c r="C67" s="160">
        <v>18.2</v>
      </c>
      <c r="D67" s="1400">
        <v>10</v>
      </c>
      <c r="E67" s="1400">
        <v>10</v>
      </c>
      <c r="F67" s="160">
        <v>0</v>
      </c>
      <c r="J67" s="163" t="s">
        <v>40</v>
      </c>
      <c r="K67" s="170"/>
      <c r="L67" s="76"/>
      <c r="M67" s="76">
        <v>180</v>
      </c>
      <c r="N67" s="171"/>
    </row>
    <row r="68" spans="2:14" x14ac:dyDescent="0.25">
      <c r="B68" s="160">
        <v>65</v>
      </c>
      <c r="C68" s="160">
        <v>17.5</v>
      </c>
      <c r="D68" s="1400">
        <v>10</v>
      </c>
      <c r="E68" s="1400">
        <v>10</v>
      </c>
      <c r="F68" s="160">
        <v>0</v>
      </c>
      <c r="J68" s="163" t="s">
        <v>41</v>
      </c>
      <c r="K68" s="170"/>
      <c r="L68" s="76"/>
      <c r="M68" s="76">
        <v>180</v>
      </c>
      <c r="N68" s="171"/>
    </row>
    <row r="69" spans="2:14" x14ac:dyDescent="0.25">
      <c r="B69" s="160">
        <v>66</v>
      </c>
      <c r="C69" s="160">
        <v>17.3</v>
      </c>
      <c r="D69" s="1400">
        <v>10</v>
      </c>
      <c r="E69" s="1400">
        <v>10</v>
      </c>
      <c r="F69" s="160">
        <v>0</v>
      </c>
      <c r="J69" s="163" t="s">
        <v>42</v>
      </c>
      <c r="K69" s="170"/>
      <c r="L69" s="76"/>
      <c r="M69" s="76">
        <v>150</v>
      </c>
      <c r="N69" s="171"/>
    </row>
    <row r="70" spans="2:14" x14ac:dyDescent="0.25">
      <c r="B70" s="160">
        <v>67</v>
      </c>
      <c r="C70" s="160">
        <v>17.100000000000001</v>
      </c>
      <c r="D70" s="1400">
        <v>10</v>
      </c>
      <c r="E70" s="1400">
        <v>10</v>
      </c>
      <c r="F70" s="160">
        <v>0</v>
      </c>
      <c r="J70" s="163" t="s">
        <v>43</v>
      </c>
      <c r="K70" s="170"/>
      <c r="L70" s="76"/>
      <c r="M70" s="76">
        <v>120</v>
      </c>
      <c r="N70" s="171"/>
    </row>
    <row r="71" spans="2:14" x14ac:dyDescent="0.25">
      <c r="B71" s="160">
        <v>68</v>
      </c>
      <c r="C71" s="160">
        <v>16.899999999999999</v>
      </c>
      <c r="D71" s="1400">
        <v>10</v>
      </c>
      <c r="E71" s="1400">
        <v>10</v>
      </c>
      <c r="F71" s="160">
        <v>0</v>
      </c>
      <c r="J71" s="162" t="s">
        <v>320</v>
      </c>
      <c r="K71" s="169" t="s">
        <v>162</v>
      </c>
      <c r="L71" s="76">
        <v>350</v>
      </c>
      <c r="M71" s="76"/>
      <c r="N71" s="171">
        <v>3</v>
      </c>
    </row>
    <row r="72" spans="2:14" x14ac:dyDescent="0.25">
      <c r="B72" s="160">
        <v>69</v>
      </c>
      <c r="C72" s="160">
        <v>16.7</v>
      </c>
      <c r="D72" s="1400">
        <v>10</v>
      </c>
      <c r="E72" s="1400">
        <v>10</v>
      </c>
      <c r="F72" s="160">
        <v>0</v>
      </c>
      <c r="J72" s="162" t="s">
        <v>321</v>
      </c>
      <c r="K72" s="169" t="s">
        <v>163</v>
      </c>
      <c r="L72" s="76">
        <v>490</v>
      </c>
      <c r="M72" s="76"/>
      <c r="N72" s="171">
        <v>3</v>
      </c>
    </row>
    <row r="73" spans="2:14" x14ac:dyDescent="0.25">
      <c r="B73" s="160">
        <v>70</v>
      </c>
      <c r="C73" s="160">
        <v>16.5</v>
      </c>
      <c r="D73" s="1400">
        <v>10</v>
      </c>
      <c r="E73" s="1400">
        <v>10</v>
      </c>
      <c r="F73" s="160">
        <v>0</v>
      </c>
      <c r="J73" s="162" t="s">
        <v>318</v>
      </c>
      <c r="K73" s="169" t="s">
        <v>159</v>
      </c>
      <c r="L73" s="76">
        <v>515</v>
      </c>
      <c r="M73" s="76"/>
      <c r="N73" s="171">
        <v>2</v>
      </c>
    </row>
    <row r="74" spans="2:14" x14ac:dyDescent="0.25">
      <c r="B74" s="160">
        <v>71</v>
      </c>
      <c r="C74" s="160">
        <v>16.3</v>
      </c>
      <c r="D74" s="1400">
        <v>10</v>
      </c>
      <c r="E74" s="1400">
        <v>10</v>
      </c>
      <c r="F74" s="160">
        <v>0</v>
      </c>
      <c r="J74" s="162" t="s">
        <v>319</v>
      </c>
      <c r="K74" s="169" t="s">
        <v>160</v>
      </c>
      <c r="L74" s="76">
        <v>595</v>
      </c>
      <c r="M74" s="76"/>
      <c r="N74" s="171">
        <v>2</v>
      </c>
    </row>
    <row r="75" spans="2:14" ht="15.75" thickBot="1" x14ac:dyDescent="0.3">
      <c r="B75" s="160">
        <v>72</v>
      </c>
      <c r="C75" s="160">
        <v>16.100000000000001</v>
      </c>
      <c r="D75" s="1400">
        <v>10</v>
      </c>
      <c r="E75" s="1400">
        <v>10</v>
      </c>
      <c r="F75" s="160">
        <v>0</v>
      </c>
      <c r="J75" s="165" t="s">
        <v>214</v>
      </c>
      <c r="K75" s="166" t="s">
        <v>161</v>
      </c>
      <c r="L75" s="167">
        <v>704</v>
      </c>
      <c r="M75" s="167"/>
      <c r="N75" s="172">
        <v>2</v>
      </c>
    </row>
    <row r="76" spans="2:14" x14ac:dyDescent="0.25">
      <c r="B76" s="160">
        <v>73</v>
      </c>
      <c r="C76" s="160">
        <v>15.9</v>
      </c>
      <c r="D76" s="1400">
        <v>10</v>
      </c>
      <c r="E76" s="1400">
        <v>10</v>
      </c>
      <c r="F76" s="160">
        <v>0</v>
      </c>
      <c r="J76" s="142"/>
    </row>
    <row r="77" spans="2:14" x14ac:dyDescent="0.25">
      <c r="B77" s="160">
        <v>74</v>
      </c>
      <c r="C77" s="160">
        <v>15.7</v>
      </c>
      <c r="D77" s="1400">
        <v>10</v>
      </c>
      <c r="E77" s="1400">
        <v>10</v>
      </c>
      <c r="F77" s="160">
        <v>0</v>
      </c>
      <c r="J77" s="142"/>
    </row>
    <row r="78" spans="2:14" x14ac:dyDescent="0.25">
      <c r="B78" s="160">
        <v>75</v>
      </c>
      <c r="C78" s="160">
        <v>15.5</v>
      </c>
      <c r="D78" s="1400">
        <v>10</v>
      </c>
      <c r="E78" s="1400">
        <v>10</v>
      </c>
      <c r="F78" s="160">
        <v>0</v>
      </c>
      <c r="J78" s="142"/>
    </row>
    <row r="79" spans="2:14" x14ac:dyDescent="0.25">
      <c r="B79" s="160">
        <v>76</v>
      </c>
      <c r="C79" s="160">
        <v>14.4</v>
      </c>
      <c r="D79" s="1400">
        <v>10</v>
      </c>
      <c r="E79" s="1400">
        <v>10</v>
      </c>
      <c r="F79" s="160">
        <v>0</v>
      </c>
    </row>
    <row r="80" spans="2:14" x14ac:dyDescent="0.25">
      <c r="B80" s="160">
        <v>77</v>
      </c>
      <c r="C80" s="160">
        <v>13.3</v>
      </c>
      <c r="D80" s="1400">
        <v>10</v>
      </c>
      <c r="E80" s="1400">
        <v>10</v>
      </c>
      <c r="F80" s="160">
        <v>0</v>
      </c>
    </row>
    <row r="81" spans="1:11" x14ac:dyDescent="0.25">
      <c r="B81" s="160">
        <v>78</v>
      </c>
      <c r="C81" s="160">
        <v>12.2</v>
      </c>
      <c r="D81" s="1400">
        <v>10</v>
      </c>
      <c r="E81" s="1400">
        <v>10</v>
      </c>
      <c r="F81" s="160">
        <v>0</v>
      </c>
      <c r="H81" s="1285"/>
      <c r="I81" s="1285"/>
      <c r="J81" s="1285"/>
      <c r="K81" s="1285"/>
    </row>
    <row r="82" spans="1:11" x14ac:dyDescent="0.25">
      <c r="B82" s="160">
        <v>79</v>
      </c>
      <c r="C82" s="160">
        <v>11.1</v>
      </c>
      <c r="D82" s="1400">
        <v>10</v>
      </c>
      <c r="E82" s="1400">
        <v>10</v>
      </c>
      <c r="F82" s="160">
        <v>0</v>
      </c>
    </row>
    <row r="83" spans="1:11" x14ac:dyDescent="0.25">
      <c r="B83" s="160">
        <v>80</v>
      </c>
      <c r="C83" s="160">
        <v>10</v>
      </c>
      <c r="D83" s="1400">
        <v>10</v>
      </c>
      <c r="E83" s="1400">
        <v>10</v>
      </c>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f>Baulichkeiten!$B$12</f>
      </c>
      <c r="C88" s="123" t="s">
        <v>44</v>
      </c>
      <c r="D88" s="1401">
        <f>IFERROR(VLOOKUP(D90,uwe,2),0)</f>
      </c>
      <c r="E88" s="122" t="s">
        <v>47</v>
      </c>
      <c r="F88" s="1402">
        <f>IFERROR(VLOOKUP(D90,uwe,5),5)</f>
      </c>
      <c r="G88" s="122"/>
      <c r="H88" s="123" t="s">
        <v>7</v>
      </c>
      <c r="I88" s="133">
        <f>Baulichkeiten!$I$13</f>
      </c>
      <c r="J88" s="58" t="s">
        <v>319</v>
      </c>
      <c r="K88" s="58" t="s">
        <v>160</v>
      </c>
    </row>
    <row r="89" spans="1:11" x14ac:dyDescent="0.25">
      <c r="A89" s="124"/>
      <c r="C89" s="78"/>
      <c r="I89" s="125"/>
      <c r="J89" s="58" t="s">
        <v>214</v>
      </c>
      <c r="K89" s="58" t="s">
        <v>161</v>
      </c>
    </row>
    <row r="90" spans="1:11" x14ac:dyDescent="0.25">
      <c r="A90" s="126" t="s">
        <v>156</v>
      </c>
      <c r="B90" s="1403">
        <f>IFERROR(VLOOKUP(D90,uwe,3),0)</f>
      </c>
      <c r="C90" s="128" t="s">
        <v>170</v>
      </c>
      <c r="D90" s="1287">
        <f>Baulichkeiten!$G$12</f>
      </c>
      <c r="E90" s="1287"/>
      <c r="F90" s="1287"/>
      <c r="G90" s="127"/>
      <c r="H90" s="128" t="s">
        <v>37</v>
      </c>
      <c r="I90" s="178">
        <f>VLOOKUP(I88,nelke,F88)</f>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f>Baulichkeiten!$B$21</f>
      </c>
      <c r="C93" s="123" t="s">
        <v>44</v>
      </c>
      <c r="D93" s="1401">
        <f>IFERROR(VLOOKUP(D95,uwe,2),0)</f>
      </c>
      <c r="E93" s="122" t="s">
        <v>47</v>
      </c>
      <c r="F93" s="1402">
        <f>IFERROR(VLOOKUP(D95,uwe,5),5)</f>
      </c>
      <c r="G93" s="1289" t="s">
        <v>7</v>
      </c>
      <c r="H93" s="1289"/>
      <c r="I93" s="133">
        <f>Baulichkeiten!$I$22</f>
      </c>
      <c r="J93" s="58" t="s">
        <v>323</v>
      </c>
      <c r="K93" s="58" t="s">
        <v>165</v>
      </c>
    </row>
    <row r="94" spans="1:11" x14ac:dyDescent="0.25">
      <c r="A94" s="124"/>
      <c r="C94" s="78"/>
      <c r="I94" s="125"/>
      <c r="J94" s="58" t="s">
        <v>311</v>
      </c>
      <c r="K94" s="58" t="s">
        <v>166</v>
      </c>
    </row>
    <row r="95" spans="1:11" x14ac:dyDescent="0.25">
      <c r="A95" s="126" t="s">
        <v>156</v>
      </c>
      <c r="B95" s="1403">
        <f>IFERROR(VLOOKUP(D95,uwe,3),0)</f>
      </c>
      <c r="C95" s="128" t="s">
        <v>170</v>
      </c>
      <c r="D95" s="1287">
        <f>Baulichkeiten!$G$21</f>
      </c>
      <c r="E95" s="1287"/>
      <c r="F95" s="1287"/>
      <c r="G95" s="127"/>
      <c r="H95" s="128" t="s">
        <v>37</v>
      </c>
      <c r="I95" s="178">
        <f>VLOOKUP(I93,nelke,F93)</f>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f>Baulichkeiten!$B$30</f>
      </c>
      <c r="C98" s="123" t="s">
        <v>44</v>
      </c>
      <c r="D98" s="1401">
        <f>IFERROR(VLOOKUP(D100,uwe,2),0)</f>
      </c>
      <c r="E98" s="122" t="s">
        <v>47</v>
      </c>
      <c r="F98" s="1402">
        <f>IFERROR(VLOOKUP(D100,uwe,5),5)</f>
      </c>
      <c r="G98" s="1289" t="s">
        <v>7</v>
      </c>
      <c r="H98" s="1289"/>
      <c r="I98" s="137">
        <f>Baulichkeiten!$I$31</f>
      </c>
      <c r="J98" s="58" t="s">
        <v>306</v>
      </c>
      <c r="K98" s="58" t="s">
        <v>167</v>
      </c>
    </row>
    <row r="99" spans="1:12" x14ac:dyDescent="0.25">
      <c r="A99" s="124"/>
      <c r="C99" s="78"/>
      <c r="J99" s="58" t="s">
        <v>324</v>
      </c>
      <c r="K99" s="58" t="s">
        <v>168</v>
      </c>
    </row>
    <row r="100" spans="1:12" x14ac:dyDescent="0.25">
      <c r="A100" s="126" t="s">
        <v>45</v>
      </c>
      <c r="B100" s="1403">
        <f>IFERROR(VLOOKUP(D100,uwe,3),0)</f>
      </c>
      <c r="C100" s="128" t="s">
        <v>171</v>
      </c>
      <c r="D100" s="1288">
        <f>Baulichkeiten!$G$30</f>
      </c>
      <c r="E100" s="1288"/>
      <c r="F100" s="1288"/>
      <c r="G100" s="127"/>
      <c r="H100" s="128" t="s">
        <v>37</v>
      </c>
      <c r="I100" s="178">
        <f>VLOOKUP(I98,nelke,F98)</f>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f>Baulichkeiten!$B$47</f>
      </c>
      <c r="C103" s="123" t="s">
        <v>44</v>
      </c>
      <c r="D103" s="1404">
        <f>IFERROR(VLOOKUP(D105,uwe,2),0)</f>
      </c>
      <c r="E103" s="122" t="s">
        <v>47</v>
      </c>
      <c r="F103" s="1402">
        <f>IFERROR(VLOOKUP(D105,uwe,5),5)</f>
      </c>
      <c r="G103" s="1289" t="s">
        <v>7</v>
      </c>
      <c r="H103" s="1289"/>
      <c r="I103" s="137">
        <f>Baulichkeiten!$I$48</f>
      </c>
      <c r="J103" s="59" t="s">
        <v>326</v>
      </c>
      <c r="K103" s="59" t="s">
        <v>169</v>
      </c>
    </row>
    <row r="104" spans="1:12" x14ac:dyDescent="0.25">
      <c r="A104" s="124"/>
      <c r="C104" s="78"/>
      <c r="J104" s="59" t="s">
        <v>294</v>
      </c>
      <c r="K104" s="135">
        <v>0</v>
      </c>
    </row>
    <row r="105" spans="1:12" x14ac:dyDescent="0.25">
      <c r="A105" s="126" t="s">
        <v>45</v>
      </c>
      <c r="B105" s="1403">
        <f>IFERROR(VLOOKUP(D105,uwe,3),0)</f>
      </c>
      <c r="C105" s="128" t="s">
        <v>171</v>
      </c>
      <c r="D105" s="1287">
        <f>Baulichkeiten!$G$47</f>
      </c>
      <c r="E105" s="1287"/>
      <c r="F105" s="1287"/>
      <c r="G105" s="127"/>
      <c r="H105" s="128" t="s">
        <v>37</v>
      </c>
      <c r="I105" s="176">
        <f>VLOOKUP(I103,nelke,F103)</f>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f>#REF!</f>
      </c>
      <c r="E112" t="s">
        <v>47</v>
      </c>
      <c r="F112" s="117">
        <v>6</v>
      </c>
      <c r="H112" s="119" t="s">
        <v>349</v>
      </c>
    </row>
    <row r="113" spans="1:8" x14ac:dyDescent="0.25">
      <c r="A113" s="141"/>
      <c r="F113" s="117"/>
    </row>
    <row r="114" spans="1:8" x14ac:dyDescent="0.25">
      <c r="A114" s="141"/>
      <c r="C114" t="s">
        <v>46</v>
      </c>
      <c r="D114" s="186">
        <f>VLOOKUP(D112,uwe,4)</f>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f>#REF!</f>
      </c>
      <c r="E117" t="s">
        <v>47</v>
      </c>
      <c r="F117" s="117">
        <v>6</v>
      </c>
    </row>
    <row r="118" spans="1:8" x14ac:dyDescent="0.25">
      <c r="A118" s="141"/>
      <c r="F118" s="117"/>
      <c r="H118" s="118" t="s">
        <v>337</v>
      </c>
    </row>
    <row r="119" spans="1:8" x14ac:dyDescent="0.25">
      <c r="A119" s="141"/>
      <c r="C119" t="s">
        <v>46</v>
      </c>
      <c r="D119" s="186">
        <f>VLOOKUP(D117,uwe,4)</f>
      </c>
      <c r="F119" s="117"/>
    </row>
    <row r="120" spans="1:8" x14ac:dyDescent="0.25">
      <c r="A120" s="141"/>
      <c r="F120" s="117"/>
    </row>
    <row r="121" spans="1:8" x14ac:dyDescent="0.25">
      <c r="A121" s="141"/>
      <c r="F121" s="117"/>
    </row>
    <row r="122" spans="1:8" x14ac:dyDescent="0.25">
      <c r="A122" s="141" t="s">
        <v>10</v>
      </c>
      <c r="B122" s="142" t="s">
        <v>335</v>
      </c>
      <c r="C122" t="s">
        <v>44</v>
      </c>
      <c r="D122" s="147">
        <f>#REF!</f>
      </c>
      <c r="E122" t="s">
        <v>47</v>
      </c>
      <c r="F122" s="117">
        <v>6</v>
      </c>
    </row>
    <row r="123" spans="1:8" x14ac:dyDescent="0.25">
      <c r="A123" s="141"/>
      <c r="F123" s="117"/>
    </row>
    <row r="124" spans="1:8" ht="15.75" thickBot="1" x14ac:dyDescent="0.3">
      <c r="A124" s="144"/>
      <c r="B124" s="80"/>
      <c r="C124" s="80" t="s">
        <v>46</v>
      </c>
      <c r="D124" s="187">
        <f>VLOOKUP(D122,uwe,4)</f>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