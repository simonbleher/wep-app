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Default Extension="png" ContentType="image/png"/>
  <Default Extension="svg" ContentType="image/svg+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<sst xmlns="http://schemas.openxmlformats.org/spreadsheetml/2006/main" count="1136" uniqueCount="646">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</sst>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_rels/drawing9.xml.rels><?xml version="1.0" encoding="UTF-8" standalone="yes"?>
<Relationships xmlns="http://schemas.openxmlformats.org/package/2006/relationships"><Relationship Id="rId1" Type="http://schemas.openxmlformats.org/officeDocument/2006/relationships/image" Target="../media/wep-skizze-form1.png"/><Relationship Id="rId2" Type="http://schemas.openxmlformats.org/officeDocument/2006/relationships/image" Target="../media/wep-skizze-form1.svg"/><Relationship Id="rId3" Type="http://schemas.openxmlformats.org/officeDocument/2006/relationships/image" Target="../media/wep-skizze-form2.png"/><Relationship Id="rId4" Type="http://schemas.openxmlformats.org/officeDocument/2006/relationships/image" Target="../media/wep-skizze-form2.svg"/><Relationship Id="rId5" Type="http://schemas.openxmlformats.org/officeDocument/2006/relationships/image" Target="../media/wep-skizze-form3.png"/><Relationship Id="rId6" Type="http://schemas.openxmlformats.org/officeDocument/2006/relationships/image" Target="../media/wep-skizze-form3.svg"/><Relationship Id="rId7" Type="http://schemas.openxmlformats.org/officeDocument/2006/relationships/image" Target="../media/wep-skizze-form4.png"/><Relationship Id="rId8" Type="http://schemas.openxmlformats.org/officeDocument/2006/relationships/image" Target="../media/wep-skizze-form4.sv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364818</xdr:colOff>
      <xdr:row>6</xdr:row>
      <xdr:rowOff>158605</xdr:rowOff>
    </xdr:from>
    <xdr:to>
      <xdr:col>6</xdr:col>
      <xdr:colOff>416232</xdr:colOff>
      <xdr:row>47</xdr:row>
      <xdr:rowOff>41420</xdr:rowOff>
    </xdr:to>
    <xdr:sp macro="" textlink="">
      <xdr:nvSpPr>
        <xdr:cNvPr id="10" name="Grundstück" descr="wep-app"/>
        <xdr:cNvSpPr/>
      </xdr:nvSpPr>
      <xdr:spPr>
        <a:xfrm>
          <a:off x="545793" y="1377805"/>
          <a:ext cx="5128239" cy="7693315"/>
        </a:xfrm>
        <a:custGeom>
          <a:avLst/>
          <a:gdLst/>
          <a:ahLst/>
          <a:cxnLst/>
          <a:rect l="l" t="t" r="r" b="b"/>
          <a:pathLst>
            <a:path w="5128239" h="7693315">
              <a:moveTo>
                <a:pt x="960947" y="0"/>
              </a:moveTo>
              <a:lnTo>
                <a:pt x="4167292" y="0"/>
              </a:lnTo>
              <a:lnTo>
                <a:pt x="5128239" y="7693315"/>
              </a:lnTo>
              <a:lnTo>
                <a:pt x="0" y="7693315"/>
              </a:lnTo>
              <a:close/>
            </a:path>
          </a:pathLst>
        </a:custGeom>
        <a:solidFill>
          <a:srgbClr val="E2F0D9"/>
        </a:solidFill>
        <a:ln w="12700">
          <a:solidFill>
            <a:srgbClr val="595959"/>
          </a:solidFill>
        </a:ln>
      </xdr:spPr>
    </xdr:sp>
    <xdr:clientData/>
  </xdr:twoCellAnchor>
  <xdr:twoCellAnchor editAs="oneCell">
    <xdr:from>
      <xdr:col>2</xdr:col>
      <xdr:colOff>865555</xdr:colOff>
      <xdr:row>6</xdr:row>
      <xdr:rowOff>127020</xdr:rowOff>
    </xdr:from>
    <xdr:to>
      <xdr:col>2</xdr:col>
      <xdr:colOff>928724</xdr:colOff>
      <xdr:row>6</xdr:row>
      <xdr:rowOff>190189</xdr:rowOff>
    </xdr:to>
    <xdr:sp macro="" textlink="">
      <xdr:nvSpPr>
        <xdr:cNvPr id="11" name="Pfosten_0" descr="wep-app"/>
        <xdr:cNvSpPr/>
      </xdr:nvSpPr>
      <xdr:spPr>
        <a:xfrm>
          <a:off x="1475155" y="1346220"/>
          <a:ext cx="63169" cy="63169"/>
        </a:xfrm>
        <a:prstGeom prst="rect">
          <a:avLst/>
        </a:prstGeom>
        <a:solidFill>
          <a:srgbClr val="FFFFFF"/>
        </a:solidFill>
        <a:ln w="9525">
          <a:solidFill>
            <a:srgbClr val="595959"/>
          </a:solidFill>
        </a:ln>
      </xdr:spPr>
    </xdr:sp>
    <xdr:clientData/>
  </xdr:twoCellAnchor>
  <xdr:twoCellAnchor editAs="oneCell">
    <xdr:from>
      <xdr:col>3</xdr:col>
      <xdr:colOff>1249528</xdr:colOff>
      <xdr:row>6</xdr:row>
      <xdr:rowOff>127020</xdr:rowOff>
    </xdr:from>
    <xdr:to>
      <xdr:col>3</xdr:col>
      <xdr:colOff>1312697</xdr:colOff>
      <xdr:row>6</xdr:row>
      <xdr:rowOff>190189</xdr:rowOff>
    </xdr:to>
    <xdr:sp macro="" textlink="">
      <xdr:nvSpPr>
        <xdr:cNvPr id="12" name="Pfosten_1" descr="wep-app"/>
        <xdr:cNvSpPr/>
      </xdr:nvSpPr>
      <xdr:spPr>
        <a:xfrm>
          <a:off x="3078328" y="1346220"/>
          <a:ext cx="63169" cy="63169"/>
        </a:xfrm>
        <a:prstGeom prst="rect">
          <a:avLst/>
        </a:prstGeom>
        <a:solidFill>
          <a:srgbClr val="FFFFFF"/>
        </a:solidFill>
        <a:ln w="9525">
          <a:solidFill>
            <a:srgbClr val="595959"/>
          </a:solidFill>
        </a:ln>
      </xdr:spPr>
    </xdr:sp>
    <xdr:clientData/>
  </xdr:twoCellAnchor>
  <xdr:twoCellAnchor editAs="oneCell">
    <xdr:from>
      <xdr:col>5</xdr:col>
      <xdr:colOff>71401</xdr:colOff>
      <xdr:row>6</xdr:row>
      <xdr:rowOff>127020</xdr:rowOff>
    </xdr:from>
    <xdr:to>
      <xdr:col>5</xdr:col>
      <xdr:colOff>134570</xdr:colOff>
      <xdr:row>6</xdr:row>
      <xdr:rowOff>190189</xdr:rowOff>
    </xdr:to>
    <xdr:sp macro="" textlink="">
      <xdr:nvSpPr>
        <xdr:cNvPr id="13" name="Pfosten_2" descr="wep-app"/>
        <xdr:cNvSpPr/>
      </xdr:nvSpPr>
      <xdr:spPr>
        <a:xfrm>
          <a:off x="4681501" y="1346220"/>
          <a:ext cx="63169" cy="63169"/>
        </a:xfrm>
        <a:prstGeom prst="rect">
          <a:avLst/>
        </a:prstGeom>
        <a:solidFill>
          <a:srgbClr val="FFFFFF"/>
        </a:solidFill>
        <a:ln w="9525">
          <a:solidFill>
            <a:srgbClr val="595959"/>
          </a:solidFill>
        </a:ln>
      </xdr:spPr>
    </xdr:sp>
    <xdr:clientData/>
  </xdr:twoCellAnchor>
  <xdr:twoCellAnchor editAs="oneCell">
    <xdr:from>
      <xdr:col>5</xdr:col>
      <xdr:colOff>231239</xdr:colOff>
      <xdr:row>13</xdr:row>
      <xdr:rowOff>76058</xdr:rowOff>
    </xdr:from>
    <xdr:to>
      <xdr:col>5</xdr:col>
      <xdr:colOff>294409</xdr:colOff>
      <xdr:row>13</xdr:row>
      <xdr:rowOff>139228</xdr:rowOff>
    </xdr:to>
    <xdr:sp macro="" textlink="">
      <xdr:nvSpPr>
        <xdr:cNvPr id="14" name="Pfosten_3" descr="wep-app"/>
        <xdr:cNvSpPr/>
      </xdr:nvSpPr>
      <xdr:spPr>
        <a:xfrm>
          <a:off x="4841339" y="2628758"/>
          <a:ext cx="63170" cy="63170"/>
        </a:xfrm>
        <a:prstGeom prst="rect">
          <a:avLst/>
        </a:prstGeom>
        <a:solidFill>
          <a:srgbClr val="FFFFFF"/>
        </a:solidFill>
        <a:ln w="9525">
          <a:solidFill>
            <a:srgbClr val="595959"/>
          </a:solidFill>
        </a:ln>
      </xdr:spPr>
    </xdr:sp>
    <xdr:clientData/>
  </xdr:twoCellAnchor>
  <xdr:twoCellAnchor editAs="oneCell">
    <xdr:from>
      <xdr:col>5</xdr:col>
      <xdr:colOff>392035</xdr:colOff>
      <xdr:row>20</xdr:row>
      <xdr:rowOff>24139</xdr:rowOff>
    </xdr:from>
    <xdr:to>
      <xdr:col>5</xdr:col>
      <xdr:colOff>455205</xdr:colOff>
      <xdr:row>20</xdr:row>
      <xdr:rowOff>87309</xdr:rowOff>
    </xdr:to>
    <xdr:sp macro="" textlink="">
      <xdr:nvSpPr>
        <xdr:cNvPr id="15" name="Pfosten_4" descr="wep-app"/>
        <xdr:cNvSpPr/>
      </xdr:nvSpPr>
      <xdr:spPr>
        <a:xfrm>
          <a:off x="5002135" y="3910339"/>
          <a:ext cx="63170" cy="63170"/>
        </a:xfrm>
        <a:prstGeom prst="rect">
          <a:avLst/>
        </a:prstGeom>
        <a:solidFill>
          <a:srgbClr val="FFFFFF"/>
        </a:solidFill>
        <a:ln w="9525">
          <a:solidFill>
            <a:srgbClr val="595959"/>
          </a:solidFill>
        </a:ln>
      </xdr:spPr>
    </xdr:sp>
    <xdr:clientData/>
  </xdr:twoCellAnchor>
  <xdr:twoCellAnchor editAs="oneCell">
    <xdr:from>
      <xdr:col>5</xdr:col>
      <xdr:colOff>551874</xdr:colOff>
      <xdr:row>26</xdr:row>
      <xdr:rowOff>163678</xdr:rowOff>
    </xdr:from>
    <xdr:to>
      <xdr:col>5</xdr:col>
      <xdr:colOff>615044</xdr:colOff>
      <xdr:row>27</xdr:row>
      <xdr:rowOff>36347</xdr:rowOff>
    </xdr:to>
    <xdr:sp macro="" textlink="">
      <xdr:nvSpPr>
        <xdr:cNvPr id="16" name="Pfosten_5" descr="wep-app"/>
        <xdr:cNvSpPr/>
      </xdr:nvSpPr>
      <xdr:spPr>
        <a:xfrm>
          <a:off x="5161974" y="5192878"/>
          <a:ext cx="63170" cy="63169"/>
        </a:xfrm>
        <a:prstGeom prst="rect">
          <a:avLst/>
        </a:prstGeom>
        <a:solidFill>
          <a:srgbClr val="FFFFFF"/>
        </a:solidFill>
        <a:ln w="9525">
          <a:solidFill>
            <a:srgbClr val="595959"/>
          </a:solidFill>
        </a:ln>
      </xdr:spPr>
    </xdr:sp>
    <xdr:clientData/>
  </xdr:twoCellAnchor>
  <xdr:twoCellAnchor editAs="oneCell">
    <xdr:from>
      <xdr:col>6</xdr:col>
      <xdr:colOff>64013</xdr:colOff>
      <xdr:row>33</xdr:row>
      <xdr:rowOff>112716</xdr:rowOff>
    </xdr:from>
    <xdr:to>
      <xdr:col>6</xdr:col>
      <xdr:colOff>127182</xdr:colOff>
      <xdr:row>33</xdr:row>
      <xdr:rowOff>175886</xdr:rowOff>
    </xdr:to>
    <xdr:sp macro="" textlink="">
      <xdr:nvSpPr>
        <xdr:cNvPr id="17" name="Pfosten_6" descr="wep-app"/>
        <xdr:cNvSpPr/>
      </xdr:nvSpPr>
      <xdr:spPr>
        <a:xfrm>
          <a:off x="5321813" y="6475416"/>
          <a:ext cx="63169" cy="63170"/>
        </a:xfrm>
        <a:prstGeom prst="rect">
          <a:avLst/>
        </a:prstGeom>
        <a:solidFill>
          <a:srgbClr val="FFFFFF"/>
        </a:solidFill>
        <a:ln w="9525">
          <a:solidFill>
            <a:srgbClr val="595959"/>
          </a:solidFill>
        </a:ln>
      </xdr:spPr>
    </xdr:sp>
    <xdr:clientData/>
  </xdr:twoCellAnchor>
  <xdr:twoCellAnchor editAs="oneCell">
    <xdr:from>
      <xdr:col>6</xdr:col>
      <xdr:colOff>224808</xdr:colOff>
      <xdr:row>40</xdr:row>
      <xdr:rowOff>60797</xdr:rowOff>
    </xdr:from>
    <xdr:to>
      <xdr:col>6</xdr:col>
      <xdr:colOff>287978</xdr:colOff>
      <xdr:row>40</xdr:row>
      <xdr:rowOff>123967</xdr:rowOff>
    </xdr:to>
    <xdr:sp macro="" textlink="">
      <xdr:nvSpPr>
        <xdr:cNvPr id="18" name="Pfosten_7" descr="wep-app"/>
        <xdr:cNvSpPr/>
      </xdr:nvSpPr>
      <xdr:spPr>
        <a:xfrm>
          <a:off x="5482608" y="7756997"/>
          <a:ext cx="63170" cy="63170"/>
        </a:xfrm>
        <a:prstGeom prst="rect">
          <a:avLst/>
        </a:prstGeom>
        <a:solidFill>
          <a:srgbClr val="FFFFFF"/>
        </a:solidFill>
        <a:ln w="9525">
          <a:solidFill>
            <a:srgbClr val="595959"/>
          </a:solidFill>
        </a:ln>
      </xdr:spPr>
    </xdr:sp>
    <xdr:clientData/>
  </xdr:twoCellAnchor>
  <xdr:twoCellAnchor editAs="oneCell">
    <xdr:from>
      <xdr:col>6</xdr:col>
      <xdr:colOff>384647</xdr:colOff>
      <xdr:row>47</xdr:row>
      <xdr:rowOff>9835</xdr:rowOff>
    </xdr:from>
    <xdr:to>
      <xdr:col>6</xdr:col>
      <xdr:colOff>447817</xdr:colOff>
      <xdr:row>47</xdr:row>
      <xdr:rowOff>73005</xdr:rowOff>
    </xdr:to>
    <xdr:sp macro="" textlink="">
      <xdr:nvSpPr>
        <xdr:cNvPr id="19" name="Pfosten_8" descr="wep-app"/>
        <xdr:cNvSpPr/>
      </xdr:nvSpPr>
      <xdr:spPr>
        <a:xfrm>
          <a:off x="5642447" y="9039535"/>
          <a:ext cx="63170" cy="63170"/>
        </a:xfrm>
        <a:prstGeom prst="rect">
          <a:avLst/>
        </a:prstGeom>
        <a:solidFill>
          <a:srgbClr val="FFFFFF"/>
        </a:solidFill>
        <a:ln w="9525">
          <a:solidFill>
            <a:srgbClr val="595959"/>
          </a:solidFill>
        </a:ln>
      </xdr:spPr>
    </xdr:sp>
    <xdr:clientData/>
  </xdr:twoCellAnchor>
  <xdr:twoCellAnchor editAs="oneCell">
    <xdr:from>
      <xdr:col>4</xdr:col>
      <xdr:colOff>674691</xdr:colOff>
      <xdr:row>47</xdr:row>
      <xdr:rowOff>9835</xdr:rowOff>
    </xdr:from>
    <xdr:to>
      <xdr:col>4</xdr:col>
      <xdr:colOff>737861</xdr:colOff>
      <xdr:row>47</xdr:row>
      <xdr:rowOff>73005</xdr:rowOff>
    </xdr:to>
    <xdr:sp macro="" textlink="">
      <xdr:nvSpPr>
        <xdr:cNvPr id="20" name="Pfosten_9" descr="wep-app"/>
        <xdr:cNvSpPr/>
      </xdr:nvSpPr>
      <xdr:spPr>
        <a:xfrm>
          <a:off x="4360866" y="9039535"/>
          <a:ext cx="63170" cy="63170"/>
        </a:xfrm>
        <a:prstGeom prst="rect">
          <a:avLst/>
        </a:prstGeom>
        <a:solidFill>
          <a:srgbClr val="FFFFFF"/>
        </a:solidFill>
        <a:ln w="9525">
          <a:solidFill>
            <a:srgbClr val="595959"/>
          </a:solidFill>
        </a:ln>
      </xdr:spPr>
    </xdr:sp>
    <xdr:clientData/>
  </xdr:twoCellAnchor>
  <xdr:twoCellAnchor editAs="oneCell">
    <xdr:from>
      <xdr:col>3</xdr:col>
      <xdr:colOff>1249528</xdr:colOff>
      <xdr:row>47</xdr:row>
      <xdr:rowOff>9835</xdr:rowOff>
    </xdr:from>
    <xdr:to>
      <xdr:col>3</xdr:col>
      <xdr:colOff>1312697</xdr:colOff>
      <xdr:row>47</xdr:row>
      <xdr:rowOff>73005</xdr:rowOff>
    </xdr:to>
    <xdr:sp macro="" textlink="">
      <xdr:nvSpPr>
        <xdr:cNvPr id="21" name="Pfosten_10" descr="wep-app"/>
        <xdr:cNvSpPr/>
      </xdr:nvSpPr>
      <xdr:spPr>
        <a:xfrm>
          <a:off x="3078328" y="9039535"/>
          <a:ext cx="63169" cy="63170"/>
        </a:xfrm>
        <a:prstGeom prst="rect">
          <a:avLst/>
        </a:prstGeom>
        <a:solidFill>
          <a:srgbClr val="FFFFFF"/>
        </a:solidFill>
        <a:ln w="9525">
          <a:solidFill>
            <a:srgbClr val="595959"/>
          </a:solidFill>
        </a:ln>
      </xdr:spPr>
    </xdr:sp>
    <xdr:clientData/>
  </xdr:twoCellAnchor>
  <xdr:twoCellAnchor editAs="oneCell">
    <xdr:from>
      <xdr:col>2</xdr:col>
      <xdr:colOff>1187146</xdr:colOff>
      <xdr:row>47</xdr:row>
      <xdr:rowOff>9835</xdr:rowOff>
    </xdr:from>
    <xdr:to>
      <xdr:col>3</xdr:col>
      <xdr:colOff>31116</xdr:colOff>
      <xdr:row>47</xdr:row>
      <xdr:rowOff>73005</xdr:rowOff>
    </xdr:to>
    <xdr:sp macro="" textlink="">
      <xdr:nvSpPr>
        <xdr:cNvPr id="22" name="Pfosten_11" descr="wep-app"/>
        <xdr:cNvSpPr/>
      </xdr:nvSpPr>
      <xdr:spPr>
        <a:xfrm>
          <a:off x="1796746" y="9039535"/>
          <a:ext cx="63170" cy="63170"/>
        </a:xfrm>
        <a:prstGeom prst="rect">
          <a:avLst/>
        </a:prstGeom>
        <a:solidFill>
          <a:srgbClr val="FFFFFF"/>
        </a:solidFill>
        <a:ln w="9525">
          <a:solidFill>
            <a:srgbClr val="595959"/>
          </a:solidFill>
        </a:ln>
      </xdr:spPr>
    </xdr:sp>
    <xdr:clientData/>
  </xdr:twoCellAnchor>
  <xdr:twoCellAnchor editAs="oneCell">
    <xdr:from>
      <xdr:col>1</xdr:col>
      <xdr:colOff>333233</xdr:colOff>
      <xdr:row>47</xdr:row>
      <xdr:rowOff>9835</xdr:rowOff>
    </xdr:from>
    <xdr:to>
      <xdr:col>1</xdr:col>
      <xdr:colOff>396403</xdr:colOff>
      <xdr:row>47</xdr:row>
      <xdr:rowOff>73005</xdr:rowOff>
    </xdr:to>
    <xdr:sp macro="" textlink="">
      <xdr:nvSpPr>
        <xdr:cNvPr id="23" name="Pfosten_12" descr="wep-app"/>
        <xdr:cNvSpPr/>
      </xdr:nvSpPr>
      <xdr:spPr>
        <a:xfrm>
          <a:off x="514208" y="9039535"/>
          <a:ext cx="63170" cy="63170"/>
        </a:xfrm>
        <a:prstGeom prst="rect">
          <a:avLst/>
        </a:prstGeom>
        <a:solidFill>
          <a:srgbClr val="FFFFFF"/>
        </a:solidFill>
        <a:ln w="9525">
          <a:solidFill>
            <a:srgbClr val="595959"/>
          </a:solidFill>
        </a:ln>
      </xdr:spPr>
    </xdr:sp>
    <xdr:clientData/>
  </xdr:twoCellAnchor>
  <xdr:twoCellAnchor editAs="oneCell">
    <xdr:from>
      <xdr:col>2</xdr:col>
      <xdr:colOff>64447</xdr:colOff>
      <xdr:row>40</xdr:row>
      <xdr:rowOff>60797</xdr:rowOff>
    </xdr:from>
    <xdr:to>
      <xdr:col>2</xdr:col>
      <xdr:colOff>127617</xdr:colOff>
      <xdr:row>40</xdr:row>
      <xdr:rowOff>123967</xdr:rowOff>
    </xdr:to>
    <xdr:sp macro="" textlink="">
      <xdr:nvSpPr>
        <xdr:cNvPr id="24" name="Pfosten_13" descr="wep-app"/>
        <xdr:cNvSpPr/>
      </xdr:nvSpPr>
      <xdr:spPr>
        <a:xfrm>
          <a:off x="674047" y="7756997"/>
          <a:ext cx="63170" cy="63170"/>
        </a:xfrm>
        <a:prstGeom prst="rect">
          <a:avLst/>
        </a:prstGeom>
        <a:solidFill>
          <a:srgbClr val="FFFFFF"/>
        </a:solidFill>
        <a:ln w="9525">
          <a:solidFill>
            <a:srgbClr val="595959"/>
          </a:solidFill>
        </a:ln>
      </xdr:spPr>
    </xdr:sp>
    <xdr:clientData/>
  </xdr:twoCellAnchor>
  <xdr:twoCellAnchor editAs="oneCell">
    <xdr:from>
      <xdr:col>2</xdr:col>
      <xdr:colOff>225243</xdr:colOff>
      <xdr:row>33</xdr:row>
      <xdr:rowOff>112716</xdr:rowOff>
    </xdr:from>
    <xdr:to>
      <xdr:col>2</xdr:col>
      <xdr:colOff>288412</xdr:colOff>
      <xdr:row>33</xdr:row>
      <xdr:rowOff>175886</xdr:rowOff>
    </xdr:to>
    <xdr:sp macro="" textlink="">
      <xdr:nvSpPr>
        <xdr:cNvPr id="25" name="Pfosten_14" descr="wep-app"/>
        <xdr:cNvSpPr/>
      </xdr:nvSpPr>
      <xdr:spPr>
        <a:xfrm>
          <a:off x="834843" y="6475416"/>
          <a:ext cx="63169" cy="63170"/>
        </a:xfrm>
        <a:prstGeom prst="rect">
          <a:avLst/>
        </a:prstGeom>
        <a:solidFill>
          <a:srgbClr val="FFFFFF"/>
        </a:solidFill>
        <a:ln w="9525">
          <a:solidFill>
            <a:srgbClr val="595959"/>
          </a:solidFill>
        </a:ln>
      </xdr:spPr>
    </xdr:sp>
    <xdr:clientData/>
  </xdr:twoCellAnchor>
  <xdr:twoCellAnchor editAs="oneCell">
    <xdr:from>
      <xdr:col>2</xdr:col>
      <xdr:colOff>385081</xdr:colOff>
      <xdr:row>26</xdr:row>
      <xdr:rowOff>163678</xdr:rowOff>
    </xdr:from>
    <xdr:to>
      <xdr:col>2</xdr:col>
      <xdr:colOff>448251</xdr:colOff>
      <xdr:row>27</xdr:row>
      <xdr:rowOff>36347</xdr:rowOff>
    </xdr:to>
    <xdr:sp macro="" textlink="">
      <xdr:nvSpPr>
        <xdr:cNvPr id="26" name="Pfosten_15" descr="wep-app"/>
        <xdr:cNvSpPr/>
      </xdr:nvSpPr>
      <xdr:spPr>
        <a:xfrm>
          <a:off x="994681" y="5192878"/>
          <a:ext cx="63170" cy="63169"/>
        </a:xfrm>
        <a:prstGeom prst="rect">
          <a:avLst/>
        </a:prstGeom>
        <a:solidFill>
          <a:srgbClr val="FFFFFF"/>
        </a:solidFill>
        <a:ln w="9525">
          <a:solidFill>
            <a:srgbClr val="595959"/>
          </a:solidFill>
        </a:ln>
      </xdr:spPr>
    </xdr:sp>
    <xdr:clientData/>
  </xdr:twoCellAnchor>
  <xdr:twoCellAnchor editAs="oneCell">
    <xdr:from>
      <xdr:col>2</xdr:col>
      <xdr:colOff>544920</xdr:colOff>
      <xdr:row>20</xdr:row>
      <xdr:rowOff>24139</xdr:rowOff>
    </xdr:from>
    <xdr:to>
      <xdr:col>2</xdr:col>
      <xdr:colOff>608090</xdr:colOff>
      <xdr:row>20</xdr:row>
      <xdr:rowOff>87309</xdr:rowOff>
    </xdr:to>
    <xdr:sp macro="" textlink="">
      <xdr:nvSpPr>
        <xdr:cNvPr id="27" name="Pfosten_16" descr="wep-app"/>
        <xdr:cNvSpPr/>
      </xdr:nvSpPr>
      <xdr:spPr>
        <a:xfrm>
          <a:off x="1154520" y="3910339"/>
          <a:ext cx="63170" cy="63170"/>
        </a:xfrm>
        <a:prstGeom prst="rect">
          <a:avLst/>
        </a:prstGeom>
        <a:solidFill>
          <a:srgbClr val="FFFFFF"/>
        </a:solidFill>
        <a:ln w="9525">
          <a:solidFill>
            <a:srgbClr val="595959"/>
          </a:solidFill>
        </a:ln>
      </xdr:spPr>
    </xdr:sp>
    <xdr:clientData/>
  </xdr:twoCellAnchor>
  <xdr:twoCellAnchor editAs="oneCell">
    <xdr:from>
      <xdr:col>2</xdr:col>
      <xdr:colOff>705716</xdr:colOff>
      <xdr:row>13</xdr:row>
      <xdr:rowOff>76058</xdr:rowOff>
    </xdr:from>
    <xdr:to>
      <xdr:col>2</xdr:col>
      <xdr:colOff>768886</xdr:colOff>
      <xdr:row>13</xdr:row>
      <xdr:rowOff>139228</xdr:rowOff>
    </xdr:to>
    <xdr:sp macro="" textlink="">
      <xdr:nvSpPr>
        <xdr:cNvPr id="28" name="Pfosten_17" descr="wep-app"/>
        <xdr:cNvSpPr/>
      </xdr:nvSpPr>
      <xdr:spPr>
        <a:xfrm>
          <a:off x="1315316" y="2628758"/>
          <a:ext cx="63170" cy="63170"/>
        </a:xfrm>
        <a:prstGeom prst="rect">
          <a:avLst/>
        </a:prstGeom>
        <a:solidFill>
          <a:srgbClr val="FFFFFF"/>
        </a:solidFill>
        <a:ln w="9525">
          <a:solidFill>
            <a:srgbClr val="595959"/>
          </a:solidFill>
        </a:ln>
      </xdr:spPr>
    </xdr:sp>
    <xdr:clientData/>
  </xdr:twoCellAnchor>
  <xdr:twoCellAnchor editAs="oneCell">
    <xdr:from>
      <xdr:col>3</xdr:col>
      <xdr:colOff>319495</xdr:colOff>
      <xdr:row>21</xdr:row>
      <xdr:rowOff>186145</xdr:rowOff>
    </xdr:from>
    <xdr:to>
      <xdr:col>4</xdr:col>
      <xdr:colOff>385355</xdr:colOff>
      <xdr:row>28</xdr:row>
      <xdr:rowOff>134802</xdr:rowOff>
    </xdr:to>
    <xdr:sp macro="" textlink="">
      <xdr:nvSpPr>
        <xdr:cNvPr id="29" name="L" descr="wep-app"/>
        <xdr:cNvSpPr/>
      </xdr:nvSpPr>
      <xdr:spPr>
        <a:xfrm>
          <a:off x="2148295" y="4262845"/>
          <a:ext cx="1923235" cy="1282157"/>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a:p>
          <a:pPr algn="ctr"/>
          <a:r>
            <a:rPr lang="de-DE" sz="1100">
              <a:solidFill>
                <a:srgbClr val="000000"/>
              </a:solidFill>
              <a:latin typeface="+mn-lt"/>
            </a:rPr>
            <a:t>24,00 m²</a:t>
          </a:r>
        </a:p>
      </xdr:txBody>
    </xdr:sp>
    <xdr:clientData/>
  </xdr:twoCellAnchor>
  <xdr:twoCellAnchor editAs="oneCell">
    <xdr:from>
      <xdr:col>4</xdr:col>
      <xdr:colOff>385355</xdr:colOff>
      <xdr:row>23</xdr:row>
      <xdr:rowOff>125684</xdr:rowOff>
    </xdr:from>
    <xdr:to>
      <xdr:col>5</xdr:col>
      <xdr:colOff>102509</xdr:colOff>
      <xdr:row>28</xdr:row>
      <xdr:rowOff>134802</xdr:rowOff>
    </xdr:to>
    <xdr:sp macro="" textlink="">
      <xdr:nvSpPr>
        <xdr:cNvPr id="30" name="A1" descr="wep-app"/>
        <xdr:cNvSpPr/>
      </xdr:nvSpPr>
      <xdr:spPr>
        <a:xfrm>
          <a:off x="4071530" y="4583384"/>
          <a:ext cx="641079" cy="961618"/>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A1</a:t>
          </a:r>
        </a:p>
        <a:p>
          <a:pPr algn="ctr"/>
          <a:r>
            <a:rPr lang="de-DE" sz="1100">
              <a:solidFill>
                <a:srgbClr val="000000"/>
              </a:solidFill>
              <a:latin typeface="+mn-lt"/>
            </a:rPr>
            <a:t>6,00 m²</a:t>
          </a:r>
        </a:p>
      </xdr:txBody>
    </xdr:sp>
    <xdr:clientData/>
  </xdr:twoCellAnchor>
  <xdr:twoCellAnchor editAs="oneCell">
    <xdr:from>
      <xdr:col>3</xdr:col>
      <xdr:colOff>319495</xdr:colOff>
      <xdr:row>13</xdr:row>
      <xdr:rowOff>107448</xdr:rowOff>
    </xdr:from>
    <xdr:to>
      <xdr:col>3</xdr:col>
      <xdr:colOff>1281113</xdr:colOff>
      <xdr:row>16</xdr:row>
      <xdr:rowOff>177027</xdr:rowOff>
    </xdr:to>
    <xdr:sp macro="" textlink="">
      <xdr:nvSpPr>
        <xdr:cNvPr id="31" name="S" descr="wep-app"/>
        <xdr:cNvSpPr/>
      </xdr:nvSpPr>
      <xdr:spPr>
        <a:xfrm>
          <a:off x="2148295" y="2660148"/>
          <a:ext cx="961618" cy="641079"/>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S</a:t>
          </a:r>
        </a:p>
        <a:p>
          <a:pPr algn="ctr"/>
          <a:r>
            <a:rPr lang="de-DE" sz="1100">
              <a:solidFill>
                <a:srgbClr val="000000"/>
              </a:solidFill>
              <a:latin typeface="+mn-lt"/>
            </a:rPr>
            <a:t>6,00 m²</a:t>
          </a:r>
        </a:p>
      </xdr:txBody>
    </xdr:sp>
    <xdr:clientData/>
  </xdr:twoCellAnchor>
  <xdr:twoCellAnchor editAs="oneCell">
    <xdr:from>
      <xdr:col>2</xdr:col>
      <xdr:colOff>524955</xdr:colOff>
      <xdr:row>41</xdr:row>
      <xdr:rowOff>130175</xdr:rowOff>
    </xdr:from>
    <xdr:to>
      <xdr:col>5</xdr:col>
      <xdr:colOff>475169</xdr:colOff>
      <xdr:row>45</xdr:row>
      <xdr:rowOff>142875</xdr:rowOff>
    </xdr:to>
    <xdr:sp macro="" textlink="">
      <xdr:nvSpPr>
        <xdr:cNvPr id="32" name="Massenberechnung" descr="wep-app"/>
        <xdr:cNvSpPr/>
      </xdr:nvSpPr>
      <xdr:spPr>
        <a:xfrm>
          <a:off x="1134555" y="8016875"/>
          <a:ext cx="3950714" cy="774700"/>
        </a:xfrm>
        <a:prstGeom prst="rect">
          <a:avLst/>
        </a:prstGeom>
        <a:solidFill>
          <a:srgbClr val="FFFFFF"/>
        </a:solidFill>
        <a:ln w="9525">
          <a:solidFill>
            <a:srgbClr val="7F7F7F"/>
          </a:solidFill>
        </a:ln>
      </xdr:spPr>
      <xdr:txBody>
        <a:bodyPr vertOverflow="clip" horzOverflow="clip" wrap="none" lIns="50800" tIns="25400" rIns="12700" bIns="0" rtlCol="0" anchor="t"/>
        <a:lstStyle/>
        <a:p>
          <a:pPr algn="l"/>
          <a:r>
            <a:rPr lang="de-DE" sz="800">
              <a:solidFill>
                <a:srgbClr val="000000"/>
              </a:solidFill>
              <a:latin typeface="+mn-lt"/>
            </a:rPr>
            <a:t>Massenberechnung (Außenmaße, Kubatur nach Dachform)</a:t>
          </a:r>
        </a:p>
        <a:p>
          <a:pPr algn="l"/>
          <a:r>
            <a:rPr lang="de-DE" sz="800">
              <a:solidFill>
                <a:srgbClr val="000000"/>
              </a:solidFill>
              <a:latin typeface="+mn-lt"/>
            </a:rPr>
            <a:t>L · 6 × 4 m = 24,00 m² · Satteldach Traufe 2,2 / First 3,1 m · 63,60 m³</a:t>
          </a:r>
        </a:p>
        <a:p>
          <a:pPr algn="l"/>
          <a:r>
            <a:rPr lang="de-DE" sz="800">
              <a:solidFill>
                <a:srgbClr val="000000"/>
              </a:solidFill>
              <a:latin typeface="+mn-lt"/>
            </a:rPr>
            <a:t>A1 · 3 × 2 m = 6,00 m² · Flachdach 2,3 m · 13,80 m³</a:t>
          </a:r>
        </a:p>
        <a:p>
          <a:pPr algn="l"/>
          <a:r>
            <a:rPr lang="de-DE" sz="800">
              <a:solidFill>
                <a:srgbClr val="000000"/>
              </a:solidFill>
              <a:latin typeface="+mn-lt"/>
            </a:rPr>
            <a:t>S · 3 × 2 m = 6,00 m² · Flachdach 2 m · 12,00 m³</a:t>
          </a:r>
        </a:p>
        <a:p>
          <a:pPr algn="l"/>
          <a:r>
            <a:rPr lang="de-DE" sz="800">
              <a:solidFill>
                <a:srgbClr val="000000"/>
              </a:solidFill>
              <a:latin typeface="+mn-lt"/>
            </a:rPr>
            <a:t>Summe: 36,00 m² · 89,40 m³</a:t>
          </a:r>
        </a:p>
      </xdr:txBody>
    </xdr:sp>
    <xdr:clientData/>
  </xdr:twoCellAnchor>
  <xdr:twoCellAnchor editAs="oneCell">
    <xdr:from>
      <xdr:col>2</xdr:col>
      <xdr:colOff>897140</xdr:colOff>
      <xdr:row>7</xdr:row>
      <xdr:rowOff>146129</xdr:rowOff>
    </xdr:from>
    <xdr:to>
      <xdr:col>5</xdr:col>
      <xdr:colOff>102985</xdr:colOff>
      <xdr:row>7</xdr:row>
      <xdr:rowOff>146129</xdr:rowOff>
    </xdr:to>
    <xdr:cxnSp macro="">
      <xdr:nvCxnSpPr>
        <xdr:cNvPr id="33" name="Maß_0" descr="wep-app"/>
        <xdr:cNvCxnSpPr/>
      </xdr:nvCxnSpPr>
      <xdr:spPr>
        <a:xfrm>
          <a:off x="1506740" y="1555829"/>
          <a:ext cx="3206345" cy="0"/>
        </a:xfrm>
        <a:prstGeom prst="straightConnector1">
          <a:avLst/>
        </a:prstGeom>
        <a:ln w="12700">
          <a:solidFill>
            <a:srgbClr val="C00000"/>
          </a:solidFill>
        </a:ln>
      </xdr:spPr>
    </xdr:cxnSp>
    <xdr:clientData/>
  </xdr:twoCellAnchor>
  <xdr:twoCellAnchor editAs="oneCell">
    <xdr:from>
      <xdr:col>2</xdr:col>
      <xdr:colOff>897140</xdr:colOff>
      <xdr:row>7</xdr:row>
      <xdr:rowOff>95329</xdr:rowOff>
    </xdr:from>
    <xdr:to>
      <xdr:col>2</xdr:col>
      <xdr:colOff>897140</xdr:colOff>
      <xdr:row>8</xdr:row>
      <xdr:rowOff>6429</xdr:rowOff>
    </xdr:to>
    <xdr:cxnSp macro="">
      <xdr:nvCxnSpPr>
        <xdr:cNvPr id="34" name="Maß_0_Strich1" descr="wep-app"/>
        <xdr:cNvCxnSpPr/>
      </xdr:nvCxnSpPr>
      <xdr:spPr>
        <a:xfrm>
          <a:off x="1506740" y="1505029"/>
          <a:ext cx="0" cy="101600"/>
        </a:xfrm>
        <a:prstGeom prst="straightConnector1">
          <a:avLst/>
        </a:prstGeom>
        <a:ln w="12700">
          <a:solidFill>
            <a:srgbClr val="C00000"/>
          </a:solidFill>
        </a:ln>
      </xdr:spPr>
    </xdr:cxnSp>
    <xdr:clientData/>
  </xdr:twoCellAnchor>
  <xdr:twoCellAnchor editAs="oneCell">
    <xdr:from>
      <xdr:col>5</xdr:col>
      <xdr:colOff>102985</xdr:colOff>
      <xdr:row>7</xdr:row>
      <xdr:rowOff>95329</xdr:rowOff>
    </xdr:from>
    <xdr:to>
      <xdr:col>5</xdr:col>
      <xdr:colOff>102985</xdr:colOff>
      <xdr:row>8</xdr:row>
      <xdr:rowOff>6429</xdr:rowOff>
    </xdr:to>
    <xdr:cxnSp macro="">
      <xdr:nvCxnSpPr>
        <xdr:cNvPr id="35" name="Maß_0_Strich2" descr="wep-app"/>
        <xdr:cNvCxnSpPr/>
      </xdr:nvCxnSpPr>
      <xdr:spPr>
        <a:xfrm>
          <a:off x="4713085" y="1505029"/>
          <a:ext cx="0" cy="101600"/>
        </a:xfrm>
        <a:prstGeom prst="straightConnector1">
          <a:avLst/>
        </a:prstGeom>
        <a:ln w="12700">
          <a:solidFill>
            <a:srgbClr val="C00000"/>
          </a:solidFill>
        </a:ln>
      </xdr:spPr>
    </xdr:cxnSp>
    <xdr:clientData/>
  </xdr:twoCellAnchor>
  <xdr:twoCellAnchor editAs="oneCell">
    <xdr:from>
      <xdr:col>3</xdr:col>
      <xdr:colOff>1104583</xdr:colOff>
      <xdr:row>7</xdr:row>
      <xdr:rowOff>158829</xdr:rowOff>
    </xdr:from>
    <xdr:to>
      <xdr:col>3</xdr:col>
      <xdr:colOff>1457643</xdr:colOff>
      <xdr:row>8</xdr:row>
      <xdr:rowOff>158829</xdr:rowOff>
    </xdr:to>
    <xdr:sp macro="" textlink="">
      <xdr:nvSpPr>
        <xdr:cNvPr id="36" name="Maß_0_Text" descr="wep-app"/>
        <xdr:cNvSpPr txBox="1"/>
      </xdr:nvSpPr>
      <xdr:spPr>
        <a:xfrm>
          <a:off x="2933383" y="1568529"/>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10 m</a:t>
          </a:r>
        </a:p>
      </xdr:txBody>
    </xdr:sp>
    <xdr:clientData/>
  </xdr:twoCellAnchor>
  <xdr:twoCellAnchor editAs="oneCell">
    <xdr:from>
      <xdr:col>4</xdr:col>
      <xdr:colOff>850801</xdr:colOff>
      <xdr:row>6</xdr:row>
      <xdr:rowOff>180618</xdr:rowOff>
    </xdr:from>
    <xdr:to>
      <xdr:col>6</xdr:col>
      <xdr:colOff>240122</xdr:colOff>
      <xdr:row>47</xdr:row>
      <xdr:rowOff>63434</xdr:rowOff>
    </xdr:to>
    <xdr:cxnSp macro="">
      <xdr:nvCxnSpPr>
        <xdr:cNvPr id="37" name="Maß_1" descr="wep-app"/>
        <xdr:cNvCxnSpPr/>
      </xdr:nvCxnSpPr>
      <xdr:spPr>
        <a:xfrm>
          <a:off x="4536976" y="1399818"/>
          <a:ext cx="960946" cy="7693316"/>
        </a:xfrm>
        <a:prstGeom prst="straightConnector1">
          <a:avLst/>
        </a:prstGeom>
        <a:ln w="12700">
          <a:solidFill>
            <a:srgbClr val="C00000"/>
          </a:solidFill>
        </a:ln>
      </xdr:spPr>
    </xdr:cxnSp>
    <xdr:clientData/>
  </xdr:twoCellAnchor>
  <xdr:twoCellAnchor editAs="oneCell">
    <xdr:from>
      <xdr:col>4</xdr:col>
      <xdr:colOff>800393</xdr:colOff>
      <xdr:row>6</xdr:row>
      <xdr:rowOff>174322</xdr:rowOff>
    </xdr:from>
    <xdr:to>
      <xdr:col>4</xdr:col>
      <xdr:colOff>901210</xdr:colOff>
      <xdr:row>6</xdr:row>
      <xdr:rowOff>186915</xdr:rowOff>
    </xdr:to>
    <xdr:cxnSp macro="">
      <xdr:nvCxnSpPr>
        <xdr:cNvPr id="38" name="Maß_1_Strich1" descr="wep-app"/>
        <xdr:cNvCxnSpPr/>
      </xdr:nvCxnSpPr>
      <xdr:spPr>
        <a:xfrm flipH="1">
          <a:off x="4486568" y="1393522"/>
          <a:ext cx="100817" cy="12593"/>
        </a:xfrm>
        <a:prstGeom prst="straightConnector1">
          <a:avLst/>
        </a:prstGeom>
        <a:ln w="12700">
          <a:solidFill>
            <a:srgbClr val="C00000"/>
          </a:solidFill>
        </a:ln>
      </xdr:spPr>
    </xdr:cxnSp>
    <xdr:clientData/>
  </xdr:twoCellAnchor>
  <xdr:twoCellAnchor editAs="oneCell">
    <xdr:from>
      <xdr:col>6</xdr:col>
      <xdr:colOff>189714</xdr:colOff>
      <xdr:row>47</xdr:row>
      <xdr:rowOff>57138</xdr:rowOff>
    </xdr:from>
    <xdr:to>
      <xdr:col>6</xdr:col>
      <xdr:colOff>290531</xdr:colOff>
      <xdr:row>47</xdr:row>
      <xdr:rowOff>69731</xdr:rowOff>
    </xdr:to>
    <xdr:cxnSp macro="">
      <xdr:nvCxnSpPr>
        <xdr:cNvPr id="39" name="Maß_1_Strich2" descr="wep-app"/>
        <xdr:cNvCxnSpPr/>
      </xdr:nvCxnSpPr>
      <xdr:spPr>
        <a:xfrm flipH="1">
          <a:off x="5447514" y="9086838"/>
          <a:ext cx="100817" cy="12593"/>
        </a:xfrm>
        <a:prstGeom prst="straightConnector1">
          <a:avLst/>
        </a:prstGeom>
        <a:ln w="12700">
          <a:solidFill>
            <a:srgbClr val="C00000"/>
          </a:solidFill>
        </a:ln>
      </xdr:spPr>
    </xdr:cxnSp>
    <xdr:clientData/>
  </xdr:twoCellAnchor>
  <xdr:twoCellAnchor editAs="oneCell">
    <xdr:from>
      <xdr:col>5</xdr:col>
      <xdr:colOff>394649</xdr:colOff>
      <xdr:row>27</xdr:row>
      <xdr:rowOff>147426</xdr:rowOff>
    </xdr:from>
    <xdr:to>
      <xdr:col>6</xdr:col>
      <xdr:colOff>288604</xdr:colOff>
      <xdr:row>28</xdr:row>
      <xdr:rowOff>147426</xdr:rowOff>
    </xdr:to>
    <xdr:sp macro="" textlink="">
      <xdr:nvSpPr>
        <xdr:cNvPr id="40" name="Maß_1_Text" descr="wep-app"/>
        <xdr:cNvSpPr txBox="1"/>
      </xdr:nvSpPr>
      <xdr:spPr>
        <a:xfrm>
          <a:off x="5004749" y="5367126"/>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24,19 m</a:t>
          </a:r>
        </a:p>
      </xdr:txBody>
    </xdr:sp>
    <xdr:clientData/>
  </xdr:twoCellAnchor>
  <xdr:twoCellAnchor editAs="oneCell">
    <xdr:from>
      <xdr:col>1</xdr:col>
      <xdr:colOff>364818</xdr:colOff>
      <xdr:row>46</xdr:row>
      <xdr:rowOff>53896</xdr:rowOff>
    </xdr:from>
    <xdr:to>
      <xdr:col>6</xdr:col>
      <xdr:colOff>416232</xdr:colOff>
      <xdr:row>46</xdr:row>
      <xdr:rowOff>53896</xdr:rowOff>
    </xdr:to>
    <xdr:cxnSp macro="">
      <xdr:nvCxnSpPr>
        <xdr:cNvPr id="41" name="Maß_2" descr="wep-app"/>
        <xdr:cNvCxnSpPr/>
      </xdr:nvCxnSpPr>
      <xdr:spPr>
        <a:xfrm flipH="1">
          <a:off x="545793" y="8893096"/>
          <a:ext cx="5128239" cy="0"/>
        </a:xfrm>
        <a:prstGeom prst="straightConnector1">
          <a:avLst/>
        </a:prstGeom>
        <a:ln w="12700">
          <a:solidFill>
            <a:srgbClr val="C00000"/>
          </a:solidFill>
        </a:ln>
      </xdr:spPr>
    </xdr:cxnSp>
    <xdr:clientData/>
  </xdr:twoCellAnchor>
  <xdr:twoCellAnchor editAs="oneCell">
    <xdr:from>
      <xdr:col>6</xdr:col>
      <xdr:colOff>416232</xdr:colOff>
      <xdr:row>46</xdr:row>
      <xdr:rowOff>3096</xdr:rowOff>
    </xdr:from>
    <xdr:to>
      <xdr:col>6</xdr:col>
      <xdr:colOff>416232</xdr:colOff>
      <xdr:row>46</xdr:row>
      <xdr:rowOff>104696</xdr:rowOff>
    </xdr:to>
    <xdr:cxnSp macro="">
      <xdr:nvCxnSpPr>
        <xdr:cNvPr id="42" name="Maß_2_Strich1" descr="wep-app"/>
        <xdr:cNvCxnSpPr/>
      </xdr:nvCxnSpPr>
      <xdr:spPr>
        <a:xfrm flipV="1">
          <a:off x="5674032" y="8842296"/>
          <a:ext cx="0" cy="101600"/>
        </a:xfrm>
        <a:prstGeom prst="straightConnector1">
          <a:avLst/>
        </a:prstGeom>
        <a:ln w="12700">
          <a:solidFill>
            <a:srgbClr val="C00000"/>
          </a:solidFill>
        </a:ln>
      </xdr:spPr>
    </xdr:cxnSp>
    <xdr:clientData/>
  </xdr:twoCellAnchor>
  <xdr:twoCellAnchor editAs="oneCell">
    <xdr:from>
      <xdr:col>1</xdr:col>
      <xdr:colOff>364818</xdr:colOff>
      <xdr:row>46</xdr:row>
      <xdr:rowOff>3096</xdr:rowOff>
    </xdr:from>
    <xdr:to>
      <xdr:col>1</xdr:col>
      <xdr:colOff>364818</xdr:colOff>
      <xdr:row>46</xdr:row>
      <xdr:rowOff>104696</xdr:rowOff>
    </xdr:to>
    <xdr:cxnSp macro="">
      <xdr:nvCxnSpPr>
        <xdr:cNvPr id="43" name="Maß_2_Strich2" descr="wep-app"/>
        <xdr:cNvCxnSpPr/>
      </xdr:nvCxnSpPr>
      <xdr:spPr>
        <a:xfrm flipV="1">
          <a:off x="545793" y="8842296"/>
          <a:ext cx="0" cy="101600"/>
        </a:xfrm>
        <a:prstGeom prst="straightConnector1">
          <a:avLst/>
        </a:prstGeom>
        <a:ln w="12700">
          <a:solidFill>
            <a:srgbClr val="C00000"/>
          </a:solidFill>
        </a:ln>
      </xdr:spPr>
    </xdr:cxnSp>
    <xdr:clientData/>
  </xdr:twoCellAnchor>
  <xdr:twoCellAnchor editAs="oneCell">
    <xdr:from>
      <xdr:col>3</xdr:col>
      <xdr:colOff>1483043</xdr:colOff>
      <xdr:row>46</xdr:row>
      <xdr:rowOff>66596</xdr:rowOff>
    </xdr:from>
    <xdr:to>
      <xdr:col>3</xdr:col>
      <xdr:colOff>1836103</xdr:colOff>
      <xdr:row>47</xdr:row>
      <xdr:rowOff>66596</xdr:rowOff>
    </xdr:to>
    <xdr:sp macro="" textlink="">
      <xdr:nvSpPr>
        <xdr:cNvPr id="44" name="Maß_2_Text" descr="wep-app"/>
        <xdr:cNvSpPr txBox="1"/>
      </xdr:nvSpPr>
      <xdr:spPr>
        <a:xfrm>
          <a:off x="3311843" y="8905796"/>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16 m</a:t>
          </a:r>
        </a:p>
      </xdr:txBody>
    </xdr:sp>
    <xdr:clientData/>
  </xdr:twoCellAnchor>
  <xdr:twoCellAnchor editAs="oneCell">
    <xdr:from>
      <xdr:col>2</xdr:col>
      <xdr:colOff>112303</xdr:colOff>
      <xdr:row>6</xdr:row>
      <xdr:rowOff>180618</xdr:rowOff>
    </xdr:from>
    <xdr:to>
      <xdr:col>2</xdr:col>
      <xdr:colOff>1073249</xdr:colOff>
      <xdr:row>47</xdr:row>
      <xdr:rowOff>63434</xdr:rowOff>
    </xdr:to>
    <xdr:cxnSp macro="">
      <xdr:nvCxnSpPr>
        <xdr:cNvPr id="45" name="Maß_3" descr="wep-app"/>
        <xdr:cNvCxnSpPr/>
      </xdr:nvCxnSpPr>
      <xdr:spPr>
        <a:xfrm flipV="1">
          <a:off x="721903" y="1399818"/>
          <a:ext cx="960946" cy="7693316"/>
        </a:xfrm>
        <a:prstGeom prst="straightConnector1">
          <a:avLst/>
        </a:prstGeom>
        <a:ln w="12700">
          <a:solidFill>
            <a:srgbClr val="C00000"/>
          </a:solidFill>
        </a:ln>
      </xdr:spPr>
    </xdr:cxnSp>
    <xdr:clientData/>
  </xdr:twoCellAnchor>
  <xdr:twoCellAnchor editAs="oneCell">
    <xdr:from>
      <xdr:col>2</xdr:col>
      <xdr:colOff>61895</xdr:colOff>
      <xdr:row>47</xdr:row>
      <xdr:rowOff>57138</xdr:rowOff>
    </xdr:from>
    <xdr:to>
      <xdr:col>2</xdr:col>
      <xdr:colOff>162712</xdr:colOff>
      <xdr:row>47</xdr:row>
      <xdr:rowOff>69731</xdr:rowOff>
    </xdr:to>
    <xdr:cxnSp macro="">
      <xdr:nvCxnSpPr>
        <xdr:cNvPr id="46" name="Maß_3_Strich1" descr="wep-app"/>
        <xdr:cNvCxnSpPr/>
      </xdr:nvCxnSpPr>
      <xdr:spPr>
        <a:xfrm>
          <a:off x="671495" y="9086838"/>
          <a:ext cx="100817" cy="12593"/>
        </a:xfrm>
        <a:prstGeom prst="straightConnector1">
          <a:avLst/>
        </a:prstGeom>
        <a:ln w="12700">
          <a:solidFill>
            <a:srgbClr val="C00000"/>
          </a:solidFill>
        </a:ln>
      </xdr:spPr>
    </xdr:cxnSp>
    <xdr:clientData/>
  </xdr:twoCellAnchor>
  <xdr:twoCellAnchor editAs="oneCell">
    <xdr:from>
      <xdr:col>2</xdr:col>
      <xdr:colOff>1022841</xdr:colOff>
      <xdr:row>6</xdr:row>
      <xdr:rowOff>174322</xdr:rowOff>
    </xdr:from>
    <xdr:to>
      <xdr:col>2</xdr:col>
      <xdr:colOff>1123658</xdr:colOff>
      <xdr:row>6</xdr:row>
      <xdr:rowOff>186915</xdr:rowOff>
    </xdr:to>
    <xdr:cxnSp macro="">
      <xdr:nvCxnSpPr>
        <xdr:cNvPr id="47" name="Maß_3_Strich2" descr="wep-app"/>
        <xdr:cNvCxnSpPr/>
      </xdr:nvCxnSpPr>
      <xdr:spPr>
        <a:xfrm>
          <a:off x="1632441" y="1393522"/>
          <a:ext cx="100817" cy="12593"/>
        </a:xfrm>
        <a:prstGeom prst="straightConnector1">
          <a:avLst/>
        </a:prstGeom>
        <a:ln w="12700">
          <a:solidFill>
            <a:srgbClr val="C00000"/>
          </a:solidFill>
        </a:ln>
      </xdr:spPr>
    </xdr:cxnSp>
    <xdr:clientData/>
  </xdr:twoCellAnchor>
  <xdr:twoCellAnchor editAs="oneCell">
    <xdr:from>
      <xdr:col>2</xdr:col>
      <xdr:colOff>630876</xdr:colOff>
      <xdr:row>26</xdr:row>
      <xdr:rowOff>122026</xdr:rowOff>
    </xdr:from>
    <xdr:to>
      <xdr:col>2</xdr:col>
      <xdr:colOff>1172531</xdr:colOff>
      <xdr:row>27</xdr:row>
      <xdr:rowOff>122026</xdr:rowOff>
    </xdr:to>
    <xdr:sp macro="" textlink="">
      <xdr:nvSpPr>
        <xdr:cNvPr id="48" name="Maß_3_Text" descr="wep-app"/>
        <xdr:cNvSpPr txBox="1"/>
      </xdr:nvSpPr>
      <xdr:spPr>
        <a:xfrm>
          <a:off x="1240476" y="5151226"/>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24,19 m</a:t>
          </a:r>
        </a:p>
      </xdr:txBody>
    </xdr:sp>
    <xdr:clientData/>
  </xdr:twoCellAnchor>
  <xdr:twoCellAnchor editAs="oneCell">
    <xdr:from>
      <xdr:col>3</xdr:col>
      <xdr:colOff>319495</xdr:colOff>
      <xdr:row>29</xdr:row>
      <xdr:rowOff>147502</xdr:rowOff>
    </xdr:from>
    <xdr:to>
      <xdr:col>3</xdr:col>
      <xdr:colOff>1281113</xdr:colOff>
      <xdr:row>29</xdr:row>
      <xdr:rowOff>147502</xdr:rowOff>
    </xdr:to>
    <xdr:cxnSp macro="">
      <xdr:nvCxnSpPr>
        <xdr:cNvPr id="49" name="Maß_kette_x_0" descr="wep-app"/>
        <xdr:cNvCxnSpPr/>
      </xdr:nvCxnSpPr>
      <xdr:spPr>
        <a:xfrm>
          <a:off x="2148295" y="5748202"/>
          <a:ext cx="961618" cy="0"/>
        </a:xfrm>
        <a:prstGeom prst="straightConnector1">
          <a:avLst/>
        </a:prstGeom>
        <a:ln w="12700">
          <a:solidFill>
            <a:srgbClr val="C00000"/>
          </a:solidFill>
        </a:ln>
      </xdr:spPr>
    </xdr:cxnSp>
    <xdr:clientData/>
  </xdr:twoCellAnchor>
  <xdr:twoCellAnchor editAs="oneCell">
    <xdr:from>
      <xdr:col>3</xdr:col>
      <xdr:colOff>319495</xdr:colOff>
      <xdr:row>29</xdr:row>
      <xdr:rowOff>96702</xdr:rowOff>
    </xdr:from>
    <xdr:to>
      <xdr:col>3</xdr:col>
      <xdr:colOff>319495</xdr:colOff>
      <xdr:row>30</xdr:row>
      <xdr:rowOff>7802</xdr:rowOff>
    </xdr:to>
    <xdr:cxnSp macro="">
      <xdr:nvCxnSpPr>
        <xdr:cNvPr id="50" name="Maß_kette_x_0_Strich1" descr="wep-app"/>
        <xdr:cNvCxnSpPr/>
      </xdr:nvCxnSpPr>
      <xdr:spPr>
        <a:xfrm>
          <a:off x="2148295" y="5697402"/>
          <a:ext cx="0" cy="101600"/>
        </a:xfrm>
        <a:prstGeom prst="straightConnector1">
          <a:avLst/>
        </a:prstGeom>
        <a:ln w="12700">
          <a:solidFill>
            <a:srgbClr val="C00000"/>
          </a:solidFill>
        </a:ln>
      </xdr:spPr>
    </xdr:cxnSp>
    <xdr:clientData/>
  </xdr:twoCellAnchor>
  <xdr:twoCellAnchor editAs="oneCell">
    <xdr:from>
      <xdr:col>3</xdr:col>
      <xdr:colOff>1281113</xdr:colOff>
      <xdr:row>29</xdr:row>
      <xdr:rowOff>96702</xdr:rowOff>
    </xdr:from>
    <xdr:to>
      <xdr:col>3</xdr:col>
      <xdr:colOff>1281113</xdr:colOff>
      <xdr:row>30</xdr:row>
      <xdr:rowOff>7802</xdr:rowOff>
    </xdr:to>
    <xdr:cxnSp macro="">
      <xdr:nvCxnSpPr>
        <xdr:cNvPr id="51" name="Maß_kette_x_0_Strich2" descr="wep-app"/>
        <xdr:cNvCxnSpPr/>
      </xdr:nvCxnSpPr>
      <xdr:spPr>
        <a:xfrm>
          <a:off x="3109913" y="5697402"/>
          <a:ext cx="0" cy="101600"/>
        </a:xfrm>
        <a:prstGeom prst="straightConnector1">
          <a:avLst/>
        </a:prstGeom>
        <a:ln w="12700">
          <a:solidFill>
            <a:srgbClr val="C00000"/>
          </a:solidFill>
        </a:ln>
      </xdr:spPr>
    </xdr:cxnSp>
    <xdr:clientData/>
  </xdr:twoCellAnchor>
  <xdr:twoCellAnchor editAs="oneCell">
    <xdr:from>
      <xdr:col>3</xdr:col>
      <xdr:colOff>655207</xdr:colOff>
      <xdr:row>29</xdr:row>
      <xdr:rowOff>160202</xdr:rowOff>
    </xdr:from>
    <xdr:to>
      <xdr:col>3</xdr:col>
      <xdr:colOff>945402</xdr:colOff>
      <xdr:row>30</xdr:row>
      <xdr:rowOff>160202</xdr:rowOff>
    </xdr:to>
    <xdr:sp macro="" textlink="">
      <xdr:nvSpPr>
        <xdr:cNvPr id="52" name="Maß_kette_x_0_Text" descr="wep-app"/>
        <xdr:cNvSpPr txBox="1"/>
      </xdr:nvSpPr>
      <xdr:spPr>
        <a:xfrm>
          <a:off x="2484007" y="576090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3</xdr:col>
      <xdr:colOff>1281113</xdr:colOff>
      <xdr:row>29</xdr:row>
      <xdr:rowOff>147502</xdr:rowOff>
    </xdr:from>
    <xdr:to>
      <xdr:col>4</xdr:col>
      <xdr:colOff>385355</xdr:colOff>
      <xdr:row>29</xdr:row>
      <xdr:rowOff>147502</xdr:rowOff>
    </xdr:to>
    <xdr:cxnSp macro="">
      <xdr:nvCxnSpPr>
        <xdr:cNvPr id="53" name="Maß_kette_x_1" descr="wep-app"/>
        <xdr:cNvCxnSpPr/>
      </xdr:nvCxnSpPr>
      <xdr:spPr>
        <a:xfrm>
          <a:off x="3109913" y="5748202"/>
          <a:ext cx="961617" cy="0"/>
        </a:xfrm>
        <a:prstGeom prst="straightConnector1">
          <a:avLst/>
        </a:prstGeom>
        <a:ln w="12700">
          <a:solidFill>
            <a:srgbClr val="C00000"/>
          </a:solidFill>
        </a:ln>
      </xdr:spPr>
    </xdr:cxnSp>
    <xdr:clientData/>
  </xdr:twoCellAnchor>
  <xdr:twoCellAnchor editAs="oneCell">
    <xdr:from>
      <xdr:col>3</xdr:col>
      <xdr:colOff>1281113</xdr:colOff>
      <xdr:row>29</xdr:row>
      <xdr:rowOff>96702</xdr:rowOff>
    </xdr:from>
    <xdr:to>
      <xdr:col>3</xdr:col>
      <xdr:colOff>1281113</xdr:colOff>
      <xdr:row>30</xdr:row>
      <xdr:rowOff>7802</xdr:rowOff>
    </xdr:to>
    <xdr:cxnSp macro="">
      <xdr:nvCxnSpPr>
        <xdr:cNvPr id="54" name="Maß_kette_x_1_Strich1" descr="wep-app"/>
        <xdr:cNvCxnSpPr/>
      </xdr:nvCxnSpPr>
      <xdr:spPr>
        <a:xfrm>
          <a:off x="3109913" y="5697402"/>
          <a:ext cx="0" cy="101600"/>
        </a:xfrm>
        <a:prstGeom prst="straightConnector1">
          <a:avLst/>
        </a:prstGeom>
        <a:ln w="12700">
          <a:solidFill>
            <a:srgbClr val="C00000"/>
          </a:solidFill>
        </a:ln>
      </xdr:spPr>
    </xdr:cxnSp>
    <xdr:clientData/>
  </xdr:twoCellAnchor>
  <xdr:twoCellAnchor editAs="oneCell">
    <xdr:from>
      <xdr:col>4</xdr:col>
      <xdr:colOff>385355</xdr:colOff>
      <xdr:row>29</xdr:row>
      <xdr:rowOff>96702</xdr:rowOff>
    </xdr:from>
    <xdr:to>
      <xdr:col>4</xdr:col>
      <xdr:colOff>385355</xdr:colOff>
      <xdr:row>30</xdr:row>
      <xdr:rowOff>7802</xdr:rowOff>
    </xdr:to>
    <xdr:cxnSp macro="">
      <xdr:nvCxnSpPr>
        <xdr:cNvPr id="55" name="Maß_kette_x_1_Strich2" descr="wep-app"/>
        <xdr:cNvCxnSpPr/>
      </xdr:nvCxnSpPr>
      <xdr:spPr>
        <a:xfrm>
          <a:off x="4071530" y="5697402"/>
          <a:ext cx="0" cy="101600"/>
        </a:xfrm>
        <a:prstGeom prst="straightConnector1">
          <a:avLst/>
        </a:prstGeom>
        <a:ln w="12700">
          <a:solidFill>
            <a:srgbClr val="C00000"/>
          </a:solidFill>
        </a:ln>
      </xdr:spPr>
    </xdr:cxnSp>
    <xdr:clientData/>
  </xdr:twoCellAnchor>
  <xdr:twoCellAnchor editAs="oneCell">
    <xdr:from>
      <xdr:col>3</xdr:col>
      <xdr:colOff>1616824</xdr:colOff>
      <xdr:row>29</xdr:row>
      <xdr:rowOff>160202</xdr:rowOff>
    </xdr:from>
    <xdr:to>
      <xdr:col>4</xdr:col>
      <xdr:colOff>49644</xdr:colOff>
      <xdr:row>30</xdr:row>
      <xdr:rowOff>160202</xdr:rowOff>
    </xdr:to>
    <xdr:sp macro="" textlink="">
      <xdr:nvSpPr>
        <xdr:cNvPr id="56" name="Maß_kette_x_1_Text" descr="wep-app"/>
        <xdr:cNvSpPr txBox="1"/>
      </xdr:nvSpPr>
      <xdr:spPr>
        <a:xfrm>
          <a:off x="3445624" y="576090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4</xdr:col>
      <xdr:colOff>385355</xdr:colOff>
      <xdr:row>29</xdr:row>
      <xdr:rowOff>147502</xdr:rowOff>
    </xdr:from>
    <xdr:to>
      <xdr:col>5</xdr:col>
      <xdr:colOff>102509</xdr:colOff>
      <xdr:row>29</xdr:row>
      <xdr:rowOff>147502</xdr:rowOff>
    </xdr:to>
    <xdr:cxnSp macro="">
      <xdr:nvCxnSpPr>
        <xdr:cNvPr id="57" name="Maß_kette_x_2" descr="wep-app"/>
        <xdr:cNvCxnSpPr/>
      </xdr:nvCxnSpPr>
      <xdr:spPr>
        <a:xfrm>
          <a:off x="4071530" y="5748202"/>
          <a:ext cx="641079" cy="0"/>
        </a:xfrm>
        <a:prstGeom prst="straightConnector1">
          <a:avLst/>
        </a:prstGeom>
        <a:ln w="12700">
          <a:solidFill>
            <a:srgbClr val="C00000"/>
          </a:solidFill>
        </a:ln>
      </xdr:spPr>
    </xdr:cxnSp>
    <xdr:clientData/>
  </xdr:twoCellAnchor>
  <xdr:twoCellAnchor editAs="oneCell">
    <xdr:from>
      <xdr:col>4</xdr:col>
      <xdr:colOff>385355</xdr:colOff>
      <xdr:row>29</xdr:row>
      <xdr:rowOff>96702</xdr:rowOff>
    </xdr:from>
    <xdr:to>
      <xdr:col>4</xdr:col>
      <xdr:colOff>385355</xdr:colOff>
      <xdr:row>30</xdr:row>
      <xdr:rowOff>7802</xdr:rowOff>
    </xdr:to>
    <xdr:cxnSp macro="">
      <xdr:nvCxnSpPr>
        <xdr:cNvPr id="58" name="Maß_kette_x_2_Strich1" descr="wep-app"/>
        <xdr:cNvCxnSpPr/>
      </xdr:nvCxnSpPr>
      <xdr:spPr>
        <a:xfrm>
          <a:off x="4071530" y="5697402"/>
          <a:ext cx="0" cy="101600"/>
        </a:xfrm>
        <a:prstGeom prst="straightConnector1">
          <a:avLst/>
        </a:prstGeom>
        <a:ln w="12700">
          <a:solidFill>
            <a:srgbClr val="C00000"/>
          </a:solidFill>
        </a:ln>
      </xdr:spPr>
    </xdr:cxnSp>
    <xdr:clientData/>
  </xdr:twoCellAnchor>
  <xdr:twoCellAnchor editAs="oneCell">
    <xdr:from>
      <xdr:col>5</xdr:col>
      <xdr:colOff>102509</xdr:colOff>
      <xdr:row>29</xdr:row>
      <xdr:rowOff>96702</xdr:rowOff>
    </xdr:from>
    <xdr:to>
      <xdr:col>5</xdr:col>
      <xdr:colOff>102509</xdr:colOff>
      <xdr:row>30</xdr:row>
      <xdr:rowOff>7802</xdr:rowOff>
    </xdr:to>
    <xdr:cxnSp macro="">
      <xdr:nvCxnSpPr>
        <xdr:cNvPr id="59" name="Maß_kette_x_2_Strich2" descr="wep-app"/>
        <xdr:cNvCxnSpPr/>
      </xdr:nvCxnSpPr>
      <xdr:spPr>
        <a:xfrm>
          <a:off x="4712609" y="5697402"/>
          <a:ext cx="0" cy="101600"/>
        </a:xfrm>
        <a:prstGeom prst="straightConnector1">
          <a:avLst/>
        </a:prstGeom>
        <a:ln w="12700">
          <a:solidFill>
            <a:srgbClr val="C00000"/>
          </a:solidFill>
        </a:ln>
      </xdr:spPr>
    </xdr:cxnSp>
    <xdr:clientData/>
  </xdr:twoCellAnchor>
  <xdr:twoCellAnchor editAs="oneCell">
    <xdr:from>
      <xdr:col>4</xdr:col>
      <xdr:colOff>560797</xdr:colOff>
      <xdr:row>29</xdr:row>
      <xdr:rowOff>160202</xdr:rowOff>
    </xdr:from>
    <xdr:to>
      <xdr:col>4</xdr:col>
      <xdr:colOff>850992</xdr:colOff>
      <xdr:row>30</xdr:row>
      <xdr:rowOff>160202</xdr:rowOff>
    </xdr:to>
    <xdr:sp macro="" textlink="">
      <xdr:nvSpPr>
        <xdr:cNvPr id="60" name="Maß_kette_x_2_Text" descr="wep-app"/>
        <xdr:cNvSpPr txBox="1"/>
      </xdr:nvSpPr>
      <xdr:spPr>
        <a:xfrm>
          <a:off x="4246972" y="576090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 m</a:t>
          </a:r>
        </a:p>
      </xdr:txBody>
    </xdr:sp>
    <xdr:clientData/>
  </xdr:twoCellAnchor>
  <xdr:twoCellAnchor editAs="oneCell">
    <xdr:from>
      <xdr:col>5</xdr:col>
      <xdr:colOff>305709</xdr:colOff>
      <xdr:row>13</xdr:row>
      <xdr:rowOff>107448</xdr:rowOff>
    </xdr:from>
    <xdr:to>
      <xdr:col>5</xdr:col>
      <xdr:colOff>305709</xdr:colOff>
      <xdr:row>16</xdr:row>
      <xdr:rowOff>177027</xdr:rowOff>
    </xdr:to>
    <xdr:cxnSp macro="">
      <xdr:nvCxnSpPr>
        <xdr:cNvPr id="61" name="Maß_kette_y_0" descr="wep-app"/>
        <xdr:cNvCxnSpPr/>
      </xdr:nvCxnSpPr>
      <xdr:spPr>
        <a:xfrm>
          <a:off x="4915809" y="2660148"/>
          <a:ext cx="0" cy="641079"/>
        </a:xfrm>
        <a:prstGeom prst="straightConnector1">
          <a:avLst/>
        </a:prstGeom>
        <a:ln w="12700">
          <a:solidFill>
            <a:srgbClr val="C00000"/>
          </a:solidFill>
        </a:ln>
      </xdr:spPr>
    </xdr:cxnSp>
    <xdr:clientData/>
  </xdr:twoCellAnchor>
  <xdr:twoCellAnchor editAs="oneCell">
    <xdr:from>
      <xdr:col>5</xdr:col>
      <xdr:colOff>254909</xdr:colOff>
      <xdr:row>13</xdr:row>
      <xdr:rowOff>107448</xdr:rowOff>
    </xdr:from>
    <xdr:to>
      <xdr:col>5</xdr:col>
      <xdr:colOff>356509</xdr:colOff>
      <xdr:row>13</xdr:row>
      <xdr:rowOff>107448</xdr:rowOff>
    </xdr:to>
    <xdr:cxnSp macro="">
      <xdr:nvCxnSpPr>
        <xdr:cNvPr id="62" name="Maß_kette_y_0_Strich1" descr="wep-app"/>
        <xdr:cNvCxnSpPr/>
      </xdr:nvCxnSpPr>
      <xdr:spPr>
        <a:xfrm flipH="1">
          <a:off x="4865009" y="2660148"/>
          <a:ext cx="101600" cy="0"/>
        </a:xfrm>
        <a:prstGeom prst="straightConnector1">
          <a:avLst/>
        </a:prstGeom>
        <a:ln w="12700">
          <a:solidFill>
            <a:srgbClr val="C00000"/>
          </a:solidFill>
        </a:ln>
      </xdr:spPr>
    </xdr:cxnSp>
    <xdr:clientData/>
  </xdr:twoCellAnchor>
  <xdr:twoCellAnchor editAs="oneCell">
    <xdr:from>
      <xdr:col>5</xdr:col>
      <xdr:colOff>254909</xdr:colOff>
      <xdr:row>16</xdr:row>
      <xdr:rowOff>177027</xdr:rowOff>
    </xdr:from>
    <xdr:to>
      <xdr:col>5</xdr:col>
      <xdr:colOff>356509</xdr:colOff>
      <xdr:row>16</xdr:row>
      <xdr:rowOff>177027</xdr:rowOff>
    </xdr:to>
    <xdr:cxnSp macro="">
      <xdr:nvCxnSpPr>
        <xdr:cNvPr id="63" name="Maß_kette_y_0_Strich2" descr="wep-app"/>
        <xdr:cNvCxnSpPr/>
      </xdr:nvCxnSpPr>
      <xdr:spPr>
        <a:xfrm flipH="1">
          <a:off x="4865009" y="3301227"/>
          <a:ext cx="101600" cy="0"/>
        </a:xfrm>
        <a:prstGeom prst="straightConnector1">
          <a:avLst/>
        </a:prstGeom>
        <a:ln w="12700">
          <a:solidFill>
            <a:srgbClr val="C00000"/>
          </a:solidFill>
        </a:ln>
      </xdr:spPr>
    </xdr:cxnSp>
    <xdr:clientData/>
  </xdr:twoCellAnchor>
  <xdr:twoCellAnchor editAs="oneCell">
    <xdr:from>
      <xdr:col>5</xdr:col>
      <xdr:colOff>343809</xdr:colOff>
      <xdr:row>14</xdr:row>
      <xdr:rowOff>142238</xdr:rowOff>
    </xdr:from>
    <xdr:to>
      <xdr:col>5</xdr:col>
      <xdr:colOff>634004</xdr:colOff>
      <xdr:row>15</xdr:row>
      <xdr:rowOff>142238</xdr:rowOff>
    </xdr:to>
    <xdr:sp macro="" textlink="">
      <xdr:nvSpPr>
        <xdr:cNvPr id="64" name="Maß_kette_y_0_Text" descr="wep-app"/>
        <xdr:cNvSpPr txBox="1"/>
      </xdr:nvSpPr>
      <xdr:spPr>
        <a:xfrm>
          <a:off x="4953909" y="2885438"/>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 m</a:t>
          </a:r>
        </a:p>
      </xdr:txBody>
    </xdr:sp>
    <xdr:clientData/>
  </xdr:twoCellAnchor>
  <xdr:twoCellAnchor editAs="oneCell">
    <xdr:from>
      <xdr:col>5</xdr:col>
      <xdr:colOff>305709</xdr:colOff>
      <xdr:row>16</xdr:row>
      <xdr:rowOff>177027</xdr:rowOff>
    </xdr:from>
    <xdr:to>
      <xdr:col>5</xdr:col>
      <xdr:colOff>305709</xdr:colOff>
      <xdr:row>21</xdr:row>
      <xdr:rowOff>186145</xdr:rowOff>
    </xdr:to>
    <xdr:cxnSp macro="">
      <xdr:nvCxnSpPr>
        <xdr:cNvPr id="65" name="Maß_kette_y_1" descr="wep-app"/>
        <xdr:cNvCxnSpPr/>
      </xdr:nvCxnSpPr>
      <xdr:spPr>
        <a:xfrm>
          <a:off x="4915809" y="3301227"/>
          <a:ext cx="0" cy="961618"/>
        </a:xfrm>
        <a:prstGeom prst="straightConnector1">
          <a:avLst/>
        </a:prstGeom>
        <a:ln w="12700">
          <a:solidFill>
            <a:srgbClr val="C00000"/>
          </a:solidFill>
        </a:ln>
      </xdr:spPr>
    </xdr:cxnSp>
    <xdr:clientData/>
  </xdr:twoCellAnchor>
  <xdr:twoCellAnchor editAs="oneCell">
    <xdr:from>
      <xdr:col>5</xdr:col>
      <xdr:colOff>254909</xdr:colOff>
      <xdr:row>16</xdr:row>
      <xdr:rowOff>177027</xdr:rowOff>
    </xdr:from>
    <xdr:to>
      <xdr:col>5</xdr:col>
      <xdr:colOff>356509</xdr:colOff>
      <xdr:row>16</xdr:row>
      <xdr:rowOff>177027</xdr:rowOff>
    </xdr:to>
    <xdr:cxnSp macro="">
      <xdr:nvCxnSpPr>
        <xdr:cNvPr id="66" name="Maß_kette_y_1_Strich1" descr="wep-app"/>
        <xdr:cNvCxnSpPr/>
      </xdr:nvCxnSpPr>
      <xdr:spPr>
        <a:xfrm flipH="1">
          <a:off x="4865009" y="3301227"/>
          <a:ext cx="101600" cy="0"/>
        </a:xfrm>
        <a:prstGeom prst="straightConnector1">
          <a:avLst/>
        </a:prstGeom>
        <a:ln w="12700">
          <a:solidFill>
            <a:srgbClr val="C00000"/>
          </a:solidFill>
        </a:ln>
      </xdr:spPr>
    </xdr:cxnSp>
    <xdr:clientData/>
  </xdr:twoCellAnchor>
  <xdr:twoCellAnchor editAs="oneCell">
    <xdr:from>
      <xdr:col>5</xdr:col>
      <xdr:colOff>254909</xdr:colOff>
      <xdr:row>21</xdr:row>
      <xdr:rowOff>186145</xdr:rowOff>
    </xdr:from>
    <xdr:to>
      <xdr:col>5</xdr:col>
      <xdr:colOff>356509</xdr:colOff>
      <xdr:row>21</xdr:row>
      <xdr:rowOff>186145</xdr:rowOff>
    </xdr:to>
    <xdr:cxnSp macro="">
      <xdr:nvCxnSpPr>
        <xdr:cNvPr id="67" name="Maß_kette_y_1_Strich2" descr="wep-app"/>
        <xdr:cNvCxnSpPr/>
      </xdr:nvCxnSpPr>
      <xdr:spPr>
        <a:xfrm flipH="1">
          <a:off x="4865009" y="4262845"/>
          <a:ext cx="101600" cy="0"/>
        </a:xfrm>
        <a:prstGeom prst="straightConnector1">
          <a:avLst/>
        </a:prstGeom>
        <a:ln w="12700">
          <a:solidFill>
            <a:srgbClr val="C00000"/>
          </a:solidFill>
        </a:ln>
      </xdr:spPr>
    </xdr:cxnSp>
    <xdr:clientData/>
  </xdr:twoCellAnchor>
  <xdr:twoCellAnchor editAs="oneCell">
    <xdr:from>
      <xdr:col>5</xdr:col>
      <xdr:colOff>343809</xdr:colOff>
      <xdr:row>18</xdr:row>
      <xdr:rowOff>181586</xdr:rowOff>
    </xdr:from>
    <xdr:to>
      <xdr:col>5</xdr:col>
      <xdr:colOff>634004</xdr:colOff>
      <xdr:row>19</xdr:row>
      <xdr:rowOff>181586</xdr:rowOff>
    </xdr:to>
    <xdr:sp macro="" textlink="">
      <xdr:nvSpPr>
        <xdr:cNvPr id="68" name="Maß_kette_y_1_Text" descr="wep-app"/>
        <xdr:cNvSpPr txBox="1"/>
      </xdr:nvSpPr>
      <xdr:spPr>
        <a:xfrm>
          <a:off x="4953909" y="3686786"/>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5</xdr:col>
      <xdr:colOff>305709</xdr:colOff>
      <xdr:row>21</xdr:row>
      <xdr:rowOff>186145</xdr:rowOff>
    </xdr:from>
    <xdr:to>
      <xdr:col>5</xdr:col>
      <xdr:colOff>305709</xdr:colOff>
      <xdr:row>23</xdr:row>
      <xdr:rowOff>125684</xdr:rowOff>
    </xdr:to>
    <xdr:cxnSp macro="">
      <xdr:nvCxnSpPr>
        <xdr:cNvPr id="69" name="Maß_kette_y_2" descr="wep-app"/>
        <xdr:cNvCxnSpPr/>
      </xdr:nvCxnSpPr>
      <xdr:spPr>
        <a:xfrm>
          <a:off x="4915809" y="4262845"/>
          <a:ext cx="0" cy="320539"/>
        </a:xfrm>
        <a:prstGeom prst="straightConnector1">
          <a:avLst/>
        </a:prstGeom>
        <a:ln w="12700">
          <a:solidFill>
            <a:srgbClr val="C00000"/>
          </a:solidFill>
        </a:ln>
      </xdr:spPr>
    </xdr:cxnSp>
    <xdr:clientData/>
  </xdr:twoCellAnchor>
  <xdr:twoCellAnchor editAs="oneCell">
    <xdr:from>
      <xdr:col>5</xdr:col>
      <xdr:colOff>254909</xdr:colOff>
      <xdr:row>21</xdr:row>
      <xdr:rowOff>186145</xdr:rowOff>
    </xdr:from>
    <xdr:to>
      <xdr:col>5</xdr:col>
      <xdr:colOff>356509</xdr:colOff>
      <xdr:row>21</xdr:row>
      <xdr:rowOff>186145</xdr:rowOff>
    </xdr:to>
    <xdr:cxnSp macro="">
      <xdr:nvCxnSpPr>
        <xdr:cNvPr id="70" name="Maß_kette_y_2_Strich1" descr="wep-app"/>
        <xdr:cNvCxnSpPr/>
      </xdr:nvCxnSpPr>
      <xdr:spPr>
        <a:xfrm flipH="1">
          <a:off x="4865009" y="4262845"/>
          <a:ext cx="101600" cy="0"/>
        </a:xfrm>
        <a:prstGeom prst="straightConnector1">
          <a:avLst/>
        </a:prstGeom>
        <a:ln w="12700">
          <a:solidFill>
            <a:srgbClr val="C00000"/>
          </a:solidFill>
        </a:ln>
      </xdr:spPr>
    </xdr:cxnSp>
    <xdr:clientData/>
  </xdr:twoCellAnchor>
  <xdr:twoCellAnchor editAs="oneCell">
    <xdr:from>
      <xdr:col>5</xdr:col>
      <xdr:colOff>254909</xdr:colOff>
      <xdr:row>23</xdr:row>
      <xdr:rowOff>125684</xdr:rowOff>
    </xdr:from>
    <xdr:to>
      <xdr:col>5</xdr:col>
      <xdr:colOff>356509</xdr:colOff>
      <xdr:row>23</xdr:row>
      <xdr:rowOff>125684</xdr:rowOff>
    </xdr:to>
    <xdr:cxnSp macro="">
      <xdr:nvCxnSpPr>
        <xdr:cNvPr id="71" name="Maß_kette_y_2_Strich2" descr="wep-app"/>
        <xdr:cNvCxnSpPr/>
      </xdr:nvCxnSpPr>
      <xdr:spPr>
        <a:xfrm flipH="1">
          <a:off x="4865009" y="4583384"/>
          <a:ext cx="101600" cy="0"/>
        </a:xfrm>
        <a:prstGeom prst="straightConnector1">
          <a:avLst/>
        </a:prstGeom>
        <a:ln w="12700">
          <a:solidFill>
            <a:srgbClr val="C00000"/>
          </a:solidFill>
        </a:ln>
      </xdr:spPr>
    </xdr:cxnSp>
    <xdr:clientData/>
  </xdr:twoCellAnchor>
  <xdr:twoCellAnchor editAs="oneCell">
    <xdr:from>
      <xdr:col>5</xdr:col>
      <xdr:colOff>343809</xdr:colOff>
      <xdr:row>22</xdr:row>
      <xdr:rowOff>60665</xdr:rowOff>
    </xdr:from>
    <xdr:to>
      <xdr:col>5</xdr:col>
      <xdr:colOff>634004</xdr:colOff>
      <xdr:row>23</xdr:row>
      <xdr:rowOff>60665</xdr:rowOff>
    </xdr:to>
    <xdr:sp macro="" textlink="">
      <xdr:nvSpPr>
        <xdr:cNvPr id="72" name="Maß_kette_y_2_Text" descr="wep-app"/>
        <xdr:cNvSpPr txBox="1"/>
      </xdr:nvSpPr>
      <xdr:spPr>
        <a:xfrm>
          <a:off x="4953909" y="4327865"/>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 m</a:t>
          </a:r>
        </a:p>
      </xdr:txBody>
    </xdr:sp>
    <xdr:clientData/>
  </xdr:twoCellAnchor>
  <xdr:twoCellAnchor editAs="oneCell">
    <xdr:from>
      <xdr:col>5</xdr:col>
      <xdr:colOff>305709</xdr:colOff>
      <xdr:row>23</xdr:row>
      <xdr:rowOff>125684</xdr:rowOff>
    </xdr:from>
    <xdr:to>
      <xdr:col>5</xdr:col>
      <xdr:colOff>305709</xdr:colOff>
      <xdr:row>28</xdr:row>
      <xdr:rowOff>134802</xdr:rowOff>
    </xdr:to>
    <xdr:cxnSp macro="">
      <xdr:nvCxnSpPr>
        <xdr:cNvPr id="73" name="Maß_kette_y_3" descr="wep-app"/>
        <xdr:cNvCxnSpPr/>
      </xdr:nvCxnSpPr>
      <xdr:spPr>
        <a:xfrm>
          <a:off x="4915809" y="4583384"/>
          <a:ext cx="0" cy="961618"/>
        </a:xfrm>
        <a:prstGeom prst="straightConnector1">
          <a:avLst/>
        </a:prstGeom>
        <a:ln w="12700">
          <a:solidFill>
            <a:srgbClr val="C00000"/>
          </a:solidFill>
        </a:ln>
      </xdr:spPr>
    </xdr:cxnSp>
    <xdr:clientData/>
  </xdr:twoCellAnchor>
  <xdr:twoCellAnchor editAs="oneCell">
    <xdr:from>
      <xdr:col>5</xdr:col>
      <xdr:colOff>254909</xdr:colOff>
      <xdr:row>23</xdr:row>
      <xdr:rowOff>125684</xdr:rowOff>
    </xdr:from>
    <xdr:to>
      <xdr:col>5</xdr:col>
      <xdr:colOff>356509</xdr:colOff>
      <xdr:row>23</xdr:row>
      <xdr:rowOff>125684</xdr:rowOff>
    </xdr:to>
    <xdr:cxnSp macro="">
      <xdr:nvCxnSpPr>
        <xdr:cNvPr id="74" name="Maß_kette_y_3_Strich1" descr="wep-app"/>
        <xdr:cNvCxnSpPr/>
      </xdr:nvCxnSpPr>
      <xdr:spPr>
        <a:xfrm flipH="1">
          <a:off x="4865009" y="4583384"/>
          <a:ext cx="101600" cy="0"/>
        </a:xfrm>
        <a:prstGeom prst="straightConnector1">
          <a:avLst/>
        </a:prstGeom>
        <a:ln w="12700">
          <a:solidFill>
            <a:srgbClr val="C00000"/>
          </a:solidFill>
        </a:ln>
      </xdr:spPr>
    </xdr:cxnSp>
    <xdr:clientData/>
  </xdr:twoCellAnchor>
  <xdr:twoCellAnchor editAs="oneCell">
    <xdr:from>
      <xdr:col>5</xdr:col>
      <xdr:colOff>254909</xdr:colOff>
      <xdr:row>28</xdr:row>
      <xdr:rowOff>134802</xdr:rowOff>
    </xdr:from>
    <xdr:to>
      <xdr:col>5</xdr:col>
      <xdr:colOff>356509</xdr:colOff>
      <xdr:row>28</xdr:row>
      <xdr:rowOff>134802</xdr:rowOff>
    </xdr:to>
    <xdr:cxnSp macro="">
      <xdr:nvCxnSpPr>
        <xdr:cNvPr id="75" name="Maß_kette_y_3_Strich2" descr="wep-app"/>
        <xdr:cNvCxnSpPr/>
      </xdr:nvCxnSpPr>
      <xdr:spPr>
        <a:xfrm flipH="1">
          <a:off x="4865009" y="5545002"/>
          <a:ext cx="101600" cy="0"/>
        </a:xfrm>
        <a:prstGeom prst="straightConnector1">
          <a:avLst/>
        </a:prstGeom>
        <a:ln w="12700">
          <a:solidFill>
            <a:srgbClr val="C00000"/>
          </a:solidFill>
        </a:ln>
      </xdr:spPr>
    </xdr:cxnSp>
    <xdr:clientData/>
  </xdr:twoCellAnchor>
  <xdr:twoCellAnchor editAs="oneCell">
    <xdr:from>
      <xdr:col>5</xdr:col>
      <xdr:colOff>343809</xdr:colOff>
      <xdr:row>25</xdr:row>
      <xdr:rowOff>130243</xdr:rowOff>
    </xdr:from>
    <xdr:to>
      <xdr:col>5</xdr:col>
      <xdr:colOff>634004</xdr:colOff>
      <xdr:row>26</xdr:row>
      <xdr:rowOff>130243</xdr:rowOff>
    </xdr:to>
    <xdr:sp macro="" textlink="">
      <xdr:nvSpPr>
        <xdr:cNvPr id="76" name="Maß_kette_y_3_Text" descr="wep-app"/>
        <xdr:cNvSpPr txBox="1"/>
      </xdr:nvSpPr>
      <xdr:spPr>
        <a:xfrm>
          <a:off x="4953909" y="4968943"/>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3 m</a:t>
          </a:r>
        </a:p>
      </xdr:txBody>
    </xdr:sp>
    <xdr:clientData/>
  </xdr:twoCellAnchor>
  <xdr:twoCellAnchor editAs="oneCell">
    <xdr:from>
      <xdr:col>3</xdr:col>
      <xdr:colOff>319495</xdr:colOff>
      <xdr:row>30</xdr:row>
      <xdr:rowOff>160202</xdr:rowOff>
    </xdr:from>
    <xdr:to>
      <xdr:col>5</xdr:col>
      <xdr:colOff>102509</xdr:colOff>
      <xdr:row>30</xdr:row>
      <xdr:rowOff>160202</xdr:rowOff>
    </xdr:to>
    <xdr:cxnSp macro="">
      <xdr:nvCxnSpPr>
        <xdr:cNvPr id="77" name="Maß_gesamt_x_0" descr="wep-app"/>
        <xdr:cNvCxnSpPr/>
      </xdr:nvCxnSpPr>
      <xdr:spPr>
        <a:xfrm>
          <a:off x="2148295" y="5951402"/>
          <a:ext cx="2564314" cy="0"/>
        </a:xfrm>
        <a:prstGeom prst="straightConnector1">
          <a:avLst/>
        </a:prstGeom>
        <a:ln w="12700">
          <a:solidFill>
            <a:srgbClr val="C00000"/>
          </a:solidFill>
        </a:ln>
      </xdr:spPr>
    </xdr:cxnSp>
    <xdr:clientData/>
  </xdr:twoCellAnchor>
  <xdr:twoCellAnchor editAs="oneCell">
    <xdr:from>
      <xdr:col>3</xdr:col>
      <xdr:colOff>319495</xdr:colOff>
      <xdr:row>30</xdr:row>
      <xdr:rowOff>109402</xdr:rowOff>
    </xdr:from>
    <xdr:to>
      <xdr:col>3</xdr:col>
      <xdr:colOff>319495</xdr:colOff>
      <xdr:row>31</xdr:row>
      <xdr:rowOff>20502</xdr:rowOff>
    </xdr:to>
    <xdr:cxnSp macro="">
      <xdr:nvCxnSpPr>
        <xdr:cNvPr id="78" name="Maß_gesamt_x_0_Strich1" descr="wep-app"/>
        <xdr:cNvCxnSpPr/>
      </xdr:nvCxnSpPr>
      <xdr:spPr>
        <a:xfrm>
          <a:off x="2148295" y="5900602"/>
          <a:ext cx="0" cy="101600"/>
        </a:xfrm>
        <a:prstGeom prst="straightConnector1">
          <a:avLst/>
        </a:prstGeom>
        <a:ln w="12700">
          <a:solidFill>
            <a:srgbClr val="C00000"/>
          </a:solidFill>
        </a:ln>
      </xdr:spPr>
    </xdr:cxnSp>
    <xdr:clientData/>
  </xdr:twoCellAnchor>
  <xdr:twoCellAnchor editAs="oneCell">
    <xdr:from>
      <xdr:col>5</xdr:col>
      <xdr:colOff>102509</xdr:colOff>
      <xdr:row>30</xdr:row>
      <xdr:rowOff>109402</xdr:rowOff>
    </xdr:from>
    <xdr:to>
      <xdr:col>5</xdr:col>
      <xdr:colOff>102509</xdr:colOff>
      <xdr:row>31</xdr:row>
      <xdr:rowOff>20502</xdr:rowOff>
    </xdr:to>
    <xdr:cxnSp macro="">
      <xdr:nvCxnSpPr>
        <xdr:cNvPr id="79" name="Maß_gesamt_x_0_Strich2" descr="wep-app"/>
        <xdr:cNvCxnSpPr/>
      </xdr:nvCxnSpPr>
      <xdr:spPr>
        <a:xfrm>
          <a:off x="4712609" y="5900602"/>
          <a:ext cx="0" cy="101600"/>
        </a:xfrm>
        <a:prstGeom prst="straightConnector1">
          <a:avLst/>
        </a:prstGeom>
        <a:ln w="12700">
          <a:solidFill>
            <a:srgbClr val="C00000"/>
          </a:solidFill>
        </a:ln>
      </xdr:spPr>
    </xdr:cxnSp>
    <xdr:clientData/>
  </xdr:twoCellAnchor>
  <xdr:twoCellAnchor editAs="oneCell">
    <xdr:from>
      <xdr:col>3</xdr:col>
      <xdr:colOff>1456555</xdr:colOff>
      <xdr:row>30</xdr:row>
      <xdr:rowOff>172902</xdr:rowOff>
    </xdr:from>
    <xdr:to>
      <xdr:col>3</xdr:col>
      <xdr:colOff>1746750</xdr:colOff>
      <xdr:row>31</xdr:row>
      <xdr:rowOff>172902</xdr:rowOff>
    </xdr:to>
    <xdr:sp macro="" textlink="">
      <xdr:nvSpPr>
        <xdr:cNvPr id="80" name="Maß_gesamt_x_0_Text" descr="wep-app"/>
        <xdr:cNvSpPr txBox="1"/>
      </xdr:nvSpPr>
      <xdr:spPr>
        <a:xfrm>
          <a:off x="3285355" y="5964102"/>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8 m</a:t>
          </a:r>
        </a:p>
      </xdr:txBody>
    </xdr:sp>
    <xdr:clientData/>
  </xdr:twoCellAnchor>
  <xdr:twoCellAnchor editAs="oneCell">
    <xdr:from>
      <xdr:col>6</xdr:col>
      <xdr:colOff>115209</xdr:colOff>
      <xdr:row>13</xdr:row>
      <xdr:rowOff>107448</xdr:rowOff>
    </xdr:from>
    <xdr:to>
      <xdr:col>6</xdr:col>
      <xdr:colOff>115209</xdr:colOff>
      <xdr:row>28</xdr:row>
      <xdr:rowOff>134802</xdr:rowOff>
    </xdr:to>
    <xdr:cxnSp macro="">
      <xdr:nvCxnSpPr>
        <xdr:cNvPr id="81" name="Maß_gesamt_y_0" descr="wep-app"/>
        <xdr:cNvCxnSpPr/>
      </xdr:nvCxnSpPr>
      <xdr:spPr>
        <a:xfrm>
          <a:off x="5373009" y="2660148"/>
          <a:ext cx="0" cy="2884854"/>
        </a:xfrm>
        <a:prstGeom prst="straightConnector1">
          <a:avLst/>
        </a:prstGeom>
        <a:ln w="12700">
          <a:solidFill>
            <a:srgbClr val="C00000"/>
          </a:solidFill>
        </a:ln>
      </xdr:spPr>
    </xdr:cxnSp>
    <xdr:clientData/>
  </xdr:twoCellAnchor>
  <xdr:twoCellAnchor editAs="oneCell">
    <xdr:from>
      <xdr:col>6</xdr:col>
      <xdr:colOff>64409</xdr:colOff>
      <xdr:row>13</xdr:row>
      <xdr:rowOff>107448</xdr:rowOff>
    </xdr:from>
    <xdr:to>
      <xdr:col>6</xdr:col>
      <xdr:colOff>166009</xdr:colOff>
      <xdr:row>13</xdr:row>
      <xdr:rowOff>107448</xdr:rowOff>
    </xdr:to>
    <xdr:cxnSp macro="">
      <xdr:nvCxnSpPr>
        <xdr:cNvPr id="82" name="Maß_gesamt_y_0_Strich1" descr="wep-app"/>
        <xdr:cNvCxnSpPr/>
      </xdr:nvCxnSpPr>
      <xdr:spPr>
        <a:xfrm flipH="1">
          <a:off x="5322209" y="2660148"/>
          <a:ext cx="101600" cy="0"/>
        </a:xfrm>
        <a:prstGeom prst="straightConnector1">
          <a:avLst/>
        </a:prstGeom>
        <a:ln w="12700">
          <a:solidFill>
            <a:srgbClr val="C00000"/>
          </a:solidFill>
        </a:ln>
      </xdr:spPr>
    </xdr:cxnSp>
    <xdr:clientData/>
  </xdr:twoCellAnchor>
  <xdr:twoCellAnchor editAs="oneCell">
    <xdr:from>
      <xdr:col>6</xdr:col>
      <xdr:colOff>64409</xdr:colOff>
      <xdr:row>28</xdr:row>
      <xdr:rowOff>134802</xdr:rowOff>
    </xdr:from>
    <xdr:to>
      <xdr:col>6</xdr:col>
      <xdr:colOff>166009</xdr:colOff>
      <xdr:row>28</xdr:row>
      <xdr:rowOff>134802</xdr:rowOff>
    </xdr:to>
    <xdr:cxnSp macro="">
      <xdr:nvCxnSpPr>
        <xdr:cNvPr id="83" name="Maß_gesamt_y_0_Strich2" descr="wep-app"/>
        <xdr:cNvCxnSpPr/>
      </xdr:nvCxnSpPr>
      <xdr:spPr>
        <a:xfrm flipH="1">
          <a:off x="5322209" y="5545002"/>
          <a:ext cx="101600" cy="0"/>
        </a:xfrm>
        <a:prstGeom prst="straightConnector1">
          <a:avLst/>
        </a:prstGeom>
        <a:ln w="12700">
          <a:solidFill>
            <a:srgbClr val="C00000"/>
          </a:solidFill>
        </a:ln>
      </xdr:spPr>
    </xdr:cxnSp>
    <xdr:clientData/>
  </xdr:twoCellAnchor>
  <xdr:twoCellAnchor editAs="oneCell">
    <xdr:from>
      <xdr:col>6</xdr:col>
      <xdr:colOff>153309</xdr:colOff>
      <xdr:row>20</xdr:row>
      <xdr:rowOff>121125</xdr:rowOff>
    </xdr:from>
    <xdr:to>
      <xdr:col>6</xdr:col>
      <xdr:colOff>443504</xdr:colOff>
      <xdr:row>21</xdr:row>
      <xdr:rowOff>121125</xdr:rowOff>
    </xdr:to>
    <xdr:sp macro="" textlink="">
      <xdr:nvSpPr>
        <xdr:cNvPr id="84" name="Maß_gesamt_y_0_Text" descr="wep-app"/>
        <xdr:cNvSpPr txBox="1"/>
      </xdr:nvSpPr>
      <xdr:spPr>
        <a:xfrm>
          <a:off x="5411109" y="4007325"/>
          <a:ext cx="29019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9 m</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editAs="oneCell">
    <xdr:from>
      <xdr:col>1</xdr:col>
      <xdr:colOff>364818</xdr:colOff>
      <xdr:row>6</xdr:row>
      <xdr:rowOff>158605</xdr:rowOff>
    </xdr:from>
    <xdr:to>
      <xdr:col>6</xdr:col>
      <xdr:colOff>416232</xdr:colOff>
      <xdr:row>47</xdr:row>
      <xdr:rowOff>41420</xdr:rowOff>
    </xdr:to>
    <xdr:sp macro="" textlink="">
      <xdr:nvSpPr>
        <xdr:cNvPr id="3" name="Grundstück" descr="wep-app"/>
        <xdr:cNvSpPr/>
      </xdr:nvSpPr>
      <xdr:spPr>
        <a:xfrm>
          <a:off x="545793" y="1377805"/>
          <a:ext cx="5128239" cy="7693315"/>
        </a:xfrm>
        <a:custGeom>
          <a:avLst/>
          <a:gdLst/>
          <a:ahLst/>
          <a:cxnLst/>
          <a:rect l="l" t="t" r="r" b="b"/>
          <a:pathLst>
            <a:path w="5128239" h="7693315">
              <a:moveTo>
                <a:pt x="960947" y="0"/>
              </a:moveTo>
              <a:lnTo>
                <a:pt x="4167292" y="0"/>
              </a:lnTo>
              <a:lnTo>
                <a:pt x="5128239" y="7693315"/>
              </a:lnTo>
              <a:lnTo>
                <a:pt x="0" y="7693315"/>
              </a:lnTo>
              <a:close/>
            </a:path>
          </a:pathLst>
        </a:custGeom>
        <a:solidFill>
          <a:srgbClr val="C5E0B4"/>
        </a:solidFill>
        <a:ln w="12700">
          <a:solidFill>
            <a:srgbClr val="595959"/>
          </a:solidFill>
        </a:ln>
      </xdr:spPr>
    </xdr:sp>
    <xdr:clientData/>
  </xdr:twoCellAnchor>
  <xdr:twoCellAnchor editAs="oneCell">
    <xdr:from>
      <xdr:col>1</xdr:col>
      <xdr:colOff>364818</xdr:colOff>
      <xdr:row>6</xdr:row>
      <xdr:rowOff>158605</xdr:rowOff>
    </xdr:from>
    <xdr:to>
      <xdr:col>6</xdr:col>
      <xdr:colOff>416232</xdr:colOff>
      <xdr:row>47</xdr:row>
      <xdr:rowOff>41420</xdr:rowOff>
    </xdr:to>
    <xdr:pic>
      <xdr:nvPicPr>
        <xdr:cNvPr id="4" name="Gras" descr="wep-app"/>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5793" y="1377805"/>
          <a:ext cx="5128239" cy="7693315"/>
        </a:xfrm>
        <a:prstGeom prst="rect">
          <a:avLst/>
        </a:prstGeom>
      </xdr:spPr>
    </xdr:pic>
    <xdr:clientData/>
  </xdr:twoCellAnchor>
  <xdr:twoCellAnchor editAs="oneCell">
    <xdr:from>
      <xdr:col>2</xdr:col>
      <xdr:colOff>865555</xdr:colOff>
      <xdr:row>6</xdr:row>
      <xdr:rowOff>127020</xdr:rowOff>
    </xdr:from>
    <xdr:to>
      <xdr:col>2</xdr:col>
      <xdr:colOff>928724</xdr:colOff>
      <xdr:row>6</xdr:row>
      <xdr:rowOff>190189</xdr:rowOff>
    </xdr:to>
    <xdr:sp macro="" textlink="">
      <xdr:nvSpPr>
        <xdr:cNvPr id="5" name="Pfosten_0" descr="wep-app"/>
        <xdr:cNvSpPr/>
      </xdr:nvSpPr>
      <xdr:spPr>
        <a:xfrm>
          <a:off x="1475155" y="1346220"/>
          <a:ext cx="63169" cy="63169"/>
        </a:xfrm>
        <a:prstGeom prst="rect">
          <a:avLst/>
        </a:prstGeom>
        <a:solidFill>
          <a:srgbClr val="FFFFFF"/>
        </a:solidFill>
        <a:ln w="9525">
          <a:solidFill>
            <a:srgbClr val="595959"/>
          </a:solidFill>
        </a:ln>
      </xdr:spPr>
    </xdr:sp>
    <xdr:clientData/>
  </xdr:twoCellAnchor>
  <xdr:twoCellAnchor editAs="oneCell">
    <xdr:from>
      <xdr:col>3</xdr:col>
      <xdr:colOff>1249528</xdr:colOff>
      <xdr:row>6</xdr:row>
      <xdr:rowOff>127020</xdr:rowOff>
    </xdr:from>
    <xdr:to>
      <xdr:col>3</xdr:col>
      <xdr:colOff>1312697</xdr:colOff>
      <xdr:row>6</xdr:row>
      <xdr:rowOff>190189</xdr:rowOff>
    </xdr:to>
    <xdr:sp macro="" textlink="">
      <xdr:nvSpPr>
        <xdr:cNvPr id="6" name="Pfosten_1" descr="wep-app"/>
        <xdr:cNvSpPr/>
      </xdr:nvSpPr>
      <xdr:spPr>
        <a:xfrm>
          <a:off x="3078328" y="1346220"/>
          <a:ext cx="63169" cy="63169"/>
        </a:xfrm>
        <a:prstGeom prst="rect">
          <a:avLst/>
        </a:prstGeom>
        <a:solidFill>
          <a:srgbClr val="FFFFFF"/>
        </a:solidFill>
        <a:ln w="9525">
          <a:solidFill>
            <a:srgbClr val="595959"/>
          </a:solidFill>
        </a:ln>
      </xdr:spPr>
    </xdr:sp>
    <xdr:clientData/>
  </xdr:twoCellAnchor>
  <xdr:twoCellAnchor editAs="oneCell">
    <xdr:from>
      <xdr:col>5</xdr:col>
      <xdr:colOff>71401</xdr:colOff>
      <xdr:row>6</xdr:row>
      <xdr:rowOff>127020</xdr:rowOff>
    </xdr:from>
    <xdr:to>
      <xdr:col>5</xdr:col>
      <xdr:colOff>134570</xdr:colOff>
      <xdr:row>6</xdr:row>
      <xdr:rowOff>190189</xdr:rowOff>
    </xdr:to>
    <xdr:sp macro="" textlink="">
      <xdr:nvSpPr>
        <xdr:cNvPr id="7" name="Pfosten_2" descr="wep-app"/>
        <xdr:cNvSpPr/>
      </xdr:nvSpPr>
      <xdr:spPr>
        <a:xfrm>
          <a:off x="4681501" y="1346220"/>
          <a:ext cx="63169" cy="63169"/>
        </a:xfrm>
        <a:prstGeom prst="rect">
          <a:avLst/>
        </a:prstGeom>
        <a:solidFill>
          <a:srgbClr val="FFFFFF"/>
        </a:solidFill>
        <a:ln w="9525">
          <a:solidFill>
            <a:srgbClr val="595959"/>
          </a:solidFill>
        </a:ln>
      </xdr:spPr>
    </xdr:sp>
    <xdr:clientData/>
  </xdr:twoCellAnchor>
  <xdr:twoCellAnchor editAs="oneCell">
    <xdr:from>
      <xdr:col>5</xdr:col>
      <xdr:colOff>231239</xdr:colOff>
      <xdr:row>13</xdr:row>
      <xdr:rowOff>76058</xdr:rowOff>
    </xdr:from>
    <xdr:to>
      <xdr:col>5</xdr:col>
      <xdr:colOff>294409</xdr:colOff>
      <xdr:row>13</xdr:row>
      <xdr:rowOff>139228</xdr:rowOff>
    </xdr:to>
    <xdr:sp macro="" textlink="">
      <xdr:nvSpPr>
        <xdr:cNvPr id="8" name="Pfosten_3" descr="wep-app"/>
        <xdr:cNvSpPr/>
      </xdr:nvSpPr>
      <xdr:spPr>
        <a:xfrm>
          <a:off x="4841339" y="2628758"/>
          <a:ext cx="63170" cy="63170"/>
        </a:xfrm>
        <a:prstGeom prst="rect">
          <a:avLst/>
        </a:prstGeom>
        <a:solidFill>
          <a:srgbClr val="FFFFFF"/>
        </a:solidFill>
        <a:ln w="9525">
          <a:solidFill>
            <a:srgbClr val="595959"/>
          </a:solidFill>
        </a:ln>
      </xdr:spPr>
    </xdr:sp>
    <xdr:clientData/>
  </xdr:twoCellAnchor>
  <xdr:twoCellAnchor editAs="oneCell">
    <xdr:from>
      <xdr:col>5</xdr:col>
      <xdr:colOff>392035</xdr:colOff>
      <xdr:row>20</xdr:row>
      <xdr:rowOff>24139</xdr:rowOff>
    </xdr:from>
    <xdr:to>
      <xdr:col>5</xdr:col>
      <xdr:colOff>455205</xdr:colOff>
      <xdr:row>20</xdr:row>
      <xdr:rowOff>87309</xdr:rowOff>
    </xdr:to>
    <xdr:sp macro="" textlink="">
      <xdr:nvSpPr>
        <xdr:cNvPr id="9" name="Pfosten_4" descr="wep-app"/>
        <xdr:cNvSpPr/>
      </xdr:nvSpPr>
      <xdr:spPr>
        <a:xfrm>
          <a:off x="5002135" y="3910339"/>
          <a:ext cx="63170" cy="63170"/>
        </a:xfrm>
        <a:prstGeom prst="rect">
          <a:avLst/>
        </a:prstGeom>
        <a:solidFill>
          <a:srgbClr val="FFFFFF"/>
        </a:solidFill>
        <a:ln w="9525">
          <a:solidFill>
            <a:srgbClr val="595959"/>
          </a:solidFill>
        </a:ln>
      </xdr:spPr>
    </xdr:sp>
    <xdr:clientData/>
  </xdr:twoCellAnchor>
  <xdr:twoCellAnchor editAs="oneCell">
    <xdr:from>
      <xdr:col>5</xdr:col>
      <xdr:colOff>551874</xdr:colOff>
      <xdr:row>26</xdr:row>
      <xdr:rowOff>163678</xdr:rowOff>
    </xdr:from>
    <xdr:to>
      <xdr:col>5</xdr:col>
      <xdr:colOff>615044</xdr:colOff>
      <xdr:row>27</xdr:row>
      <xdr:rowOff>36347</xdr:rowOff>
    </xdr:to>
    <xdr:sp macro="" textlink="">
      <xdr:nvSpPr>
        <xdr:cNvPr id="10" name="Pfosten_5" descr="wep-app"/>
        <xdr:cNvSpPr/>
      </xdr:nvSpPr>
      <xdr:spPr>
        <a:xfrm>
          <a:off x="5161974" y="5192878"/>
          <a:ext cx="63170" cy="63169"/>
        </a:xfrm>
        <a:prstGeom prst="rect">
          <a:avLst/>
        </a:prstGeom>
        <a:solidFill>
          <a:srgbClr val="FFFFFF"/>
        </a:solidFill>
        <a:ln w="9525">
          <a:solidFill>
            <a:srgbClr val="595959"/>
          </a:solidFill>
        </a:ln>
      </xdr:spPr>
    </xdr:sp>
    <xdr:clientData/>
  </xdr:twoCellAnchor>
  <xdr:twoCellAnchor editAs="oneCell">
    <xdr:from>
      <xdr:col>6</xdr:col>
      <xdr:colOff>64013</xdr:colOff>
      <xdr:row>33</xdr:row>
      <xdr:rowOff>112716</xdr:rowOff>
    </xdr:from>
    <xdr:to>
      <xdr:col>6</xdr:col>
      <xdr:colOff>127182</xdr:colOff>
      <xdr:row>33</xdr:row>
      <xdr:rowOff>175886</xdr:rowOff>
    </xdr:to>
    <xdr:sp macro="" textlink="">
      <xdr:nvSpPr>
        <xdr:cNvPr id="11" name="Pfosten_6" descr="wep-app"/>
        <xdr:cNvSpPr/>
      </xdr:nvSpPr>
      <xdr:spPr>
        <a:xfrm>
          <a:off x="5321813" y="6475416"/>
          <a:ext cx="63169" cy="63170"/>
        </a:xfrm>
        <a:prstGeom prst="rect">
          <a:avLst/>
        </a:prstGeom>
        <a:solidFill>
          <a:srgbClr val="FFFFFF"/>
        </a:solidFill>
        <a:ln w="9525">
          <a:solidFill>
            <a:srgbClr val="595959"/>
          </a:solidFill>
        </a:ln>
      </xdr:spPr>
    </xdr:sp>
    <xdr:clientData/>
  </xdr:twoCellAnchor>
  <xdr:twoCellAnchor editAs="oneCell">
    <xdr:from>
      <xdr:col>6</xdr:col>
      <xdr:colOff>224808</xdr:colOff>
      <xdr:row>40</xdr:row>
      <xdr:rowOff>60797</xdr:rowOff>
    </xdr:from>
    <xdr:to>
      <xdr:col>6</xdr:col>
      <xdr:colOff>287978</xdr:colOff>
      <xdr:row>40</xdr:row>
      <xdr:rowOff>123967</xdr:rowOff>
    </xdr:to>
    <xdr:sp macro="" textlink="">
      <xdr:nvSpPr>
        <xdr:cNvPr id="12" name="Pfosten_7" descr="wep-app"/>
        <xdr:cNvSpPr/>
      </xdr:nvSpPr>
      <xdr:spPr>
        <a:xfrm>
          <a:off x="5482608" y="7756997"/>
          <a:ext cx="63170" cy="63170"/>
        </a:xfrm>
        <a:prstGeom prst="rect">
          <a:avLst/>
        </a:prstGeom>
        <a:solidFill>
          <a:srgbClr val="FFFFFF"/>
        </a:solidFill>
        <a:ln w="9525">
          <a:solidFill>
            <a:srgbClr val="595959"/>
          </a:solidFill>
        </a:ln>
      </xdr:spPr>
    </xdr:sp>
    <xdr:clientData/>
  </xdr:twoCellAnchor>
  <xdr:twoCellAnchor editAs="oneCell">
    <xdr:from>
      <xdr:col>6</xdr:col>
      <xdr:colOff>384647</xdr:colOff>
      <xdr:row>47</xdr:row>
      <xdr:rowOff>9835</xdr:rowOff>
    </xdr:from>
    <xdr:to>
      <xdr:col>6</xdr:col>
      <xdr:colOff>447817</xdr:colOff>
      <xdr:row>47</xdr:row>
      <xdr:rowOff>73005</xdr:rowOff>
    </xdr:to>
    <xdr:sp macro="" textlink="">
      <xdr:nvSpPr>
        <xdr:cNvPr id="13" name="Pfosten_8" descr="wep-app"/>
        <xdr:cNvSpPr/>
      </xdr:nvSpPr>
      <xdr:spPr>
        <a:xfrm>
          <a:off x="5642447" y="9039535"/>
          <a:ext cx="63170" cy="63170"/>
        </a:xfrm>
        <a:prstGeom prst="rect">
          <a:avLst/>
        </a:prstGeom>
        <a:solidFill>
          <a:srgbClr val="FFFFFF"/>
        </a:solidFill>
        <a:ln w="9525">
          <a:solidFill>
            <a:srgbClr val="595959"/>
          </a:solidFill>
        </a:ln>
      </xdr:spPr>
    </xdr:sp>
    <xdr:clientData/>
  </xdr:twoCellAnchor>
  <xdr:twoCellAnchor editAs="oneCell">
    <xdr:from>
      <xdr:col>4</xdr:col>
      <xdr:colOff>674691</xdr:colOff>
      <xdr:row>47</xdr:row>
      <xdr:rowOff>9835</xdr:rowOff>
    </xdr:from>
    <xdr:to>
      <xdr:col>4</xdr:col>
      <xdr:colOff>737861</xdr:colOff>
      <xdr:row>47</xdr:row>
      <xdr:rowOff>73005</xdr:rowOff>
    </xdr:to>
    <xdr:sp macro="" textlink="">
      <xdr:nvSpPr>
        <xdr:cNvPr id="14" name="Pfosten_9" descr="wep-app"/>
        <xdr:cNvSpPr/>
      </xdr:nvSpPr>
      <xdr:spPr>
        <a:xfrm>
          <a:off x="4360866" y="9039535"/>
          <a:ext cx="63170" cy="63170"/>
        </a:xfrm>
        <a:prstGeom prst="rect">
          <a:avLst/>
        </a:prstGeom>
        <a:solidFill>
          <a:srgbClr val="FFFFFF"/>
        </a:solidFill>
        <a:ln w="9525">
          <a:solidFill>
            <a:srgbClr val="595959"/>
          </a:solidFill>
        </a:ln>
      </xdr:spPr>
    </xdr:sp>
    <xdr:clientData/>
  </xdr:twoCellAnchor>
  <xdr:twoCellAnchor editAs="oneCell">
    <xdr:from>
      <xdr:col>3</xdr:col>
      <xdr:colOff>1249528</xdr:colOff>
      <xdr:row>47</xdr:row>
      <xdr:rowOff>9835</xdr:rowOff>
    </xdr:from>
    <xdr:to>
      <xdr:col>3</xdr:col>
      <xdr:colOff>1312697</xdr:colOff>
      <xdr:row>47</xdr:row>
      <xdr:rowOff>73005</xdr:rowOff>
    </xdr:to>
    <xdr:sp macro="" textlink="">
      <xdr:nvSpPr>
        <xdr:cNvPr id="15" name="Pfosten_10" descr="wep-app"/>
        <xdr:cNvSpPr/>
      </xdr:nvSpPr>
      <xdr:spPr>
        <a:xfrm>
          <a:off x="3078328" y="9039535"/>
          <a:ext cx="63169" cy="63170"/>
        </a:xfrm>
        <a:prstGeom prst="rect">
          <a:avLst/>
        </a:prstGeom>
        <a:solidFill>
          <a:srgbClr val="FFFFFF"/>
        </a:solidFill>
        <a:ln w="9525">
          <a:solidFill>
            <a:srgbClr val="595959"/>
          </a:solidFill>
        </a:ln>
      </xdr:spPr>
    </xdr:sp>
    <xdr:clientData/>
  </xdr:twoCellAnchor>
  <xdr:twoCellAnchor editAs="oneCell">
    <xdr:from>
      <xdr:col>2</xdr:col>
      <xdr:colOff>1187146</xdr:colOff>
      <xdr:row>47</xdr:row>
      <xdr:rowOff>9835</xdr:rowOff>
    </xdr:from>
    <xdr:to>
      <xdr:col>3</xdr:col>
      <xdr:colOff>31116</xdr:colOff>
      <xdr:row>47</xdr:row>
      <xdr:rowOff>73005</xdr:rowOff>
    </xdr:to>
    <xdr:sp macro="" textlink="">
      <xdr:nvSpPr>
        <xdr:cNvPr id="16" name="Pfosten_11" descr="wep-app"/>
        <xdr:cNvSpPr/>
      </xdr:nvSpPr>
      <xdr:spPr>
        <a:xfrm>
          <a:off x="1796746" y="9039535"/>
          <a:ext cx="63170" cy="63170"/>
        </a:xfrm>
        <a:prstGeom prst="rect">
          <a:avLst/>
        </a:prstGeom>
        <a:solidFill>
          <a:srgbClr val="FFFFFF"/>
        </a:solidFill>
        <a:ln w="9525">
          <a:solidFill>
            <a:srgbClr val="595959"/>
          </a:solidFill>
        </a:ln>
      </xdr:spPr>
    </xdr:sp>
    <xdr:clientData/>
  </xdr:twoCellAnchor>
  <xdr:twoCellAnchor editAs="oneCell">
    <xdr:from>
      <xdr:col>1</xdr:col>
      <xdr:colOff>333233</xdr:colOff>
      <xdr:row>47</xdr:row>
      <xdr:rowOff>9835</xdr:rowOff>
    </xdr:from>
    <xdr:to>
      <xdr:col>1</xdr:col>
      <xdr:colOff>396403</xdr:colOff>
      <xdr:row>47</xdr:row>
      <xdr:rowOff>73005</xdr:rowOff>
    </xdr:to>
    <xdr:sp macro="" textlink="">
      <xdr:nvSpPr>
        <xdr:cNvPr id="17" name="Pfosten_12" descr="wep-app"/>
        <xdr:cNvSpPr/>
      </xdr:nvSpPr>
      <xdr:spPr>
        <a:xfrm>
          <a:off x="514208" y="9039535"/>
          <a:ext cx="63170" cy="63170"/>
        </a:xfrm>
        <a:prstGeom prst="rect">
          <a:avLst/>
        </a:prstGeom>
        <a:solidFill>
          <a:srgbClr val="FFFFFF"/>
        </a:solidFill>
        <a:ln w="9525">
          <a:solidFill>
            <a:srgbClr val="595959"/>
          </a:solidFill>
        </a:ln>
      </xdr:spPr>
    </xdr:sp>
    <xdr:clientData/>
  </xdr:twoCellAnchor>
  <xdr:twoCellAnchor editAs="oneCell">
    <xdr:from>
      <xdr:col>2</xdr:col>
      <xdr:colOff>64447</xdr:colOff>
      <xdr:row>40</xdr:row>
      <xdr:rowOff>60797</xdr:rowOff>
    </xdr:from>
    <xdr:to>
      <xdr:col>2</xdr:col>
      <xdr:colOff>127617</xdr:colOff>
      <xdr:row>40</xdr:row>
      <xdr:rowOff>123967</xdr:rowOff>
    </xdr:to>
    <xdr:sp macro="" textlink="">
      <xdr:nvSpPr>
        <xdr:cNvPr id="18" name="Pfosten_13" descr="wep-app"/>
        <xdr:cNvSpPr/>
      </xdr:nvSpPr>
      <xdr:spPr>
        <a:xfrm>
          <a:off x="674047" y="7756997"/>
          <a:ext cx="63170" cy="63170"/>
        </a:xfrm>
        <a:prstGeom prst="rect">
          <a:avLst/>
        </a:prstGeom>
        <a:solidFill>
          <a:srgbClr val="FFFFFF"/>
        </a:solidFill>
        <a:ln w="9525">
          <a:solidFill>
            <a:srgbClr val="595959"/>
          </a:solidFill>
        </a:ln>
      </xdr:spPr>
    </xdr:sp>
    <xdr:clientData/>
  </xdr:twoCellAnchor>
  <xdr:twoCellAnchor editAs="oneCell">
    <xdr:from>
      <xdr:col>2</xdr:col>
      <xdr:colOff>225243</xdr:colOff>
      <xdr:row>33</xdr:row>
      <xdr:rowOff>112716</xdr:rowOff>
    </xdr:from>
    <xdr:to>
      <xdr:col>2</xdr:col>
      <xdr:colOff>288412</xdr:colOff>
      <xdr:row>33</xdr:row>
      <xdr:rowOff>175886</xdr:rowOff>
    </xdr:to>
    <xdr:sp macro="" textlink="">
      <xdr:nvSpPr>
        <xdr:cNvPr id="19" name="Pfosten_14" descr="wep-app"/>
        <xdr:cNvSpPr/>
      </xdr:nvSpPr>
      <xdr:spPr>
        <a:xfrm>
          <a:off x="834843" y="6475416"/>
          <a:ext cx="63169" cy="63170"/>
        </a:xfrm>
        <a:prstGeom prst="rect">
          <a:avLst/>
        </a:prstGeom>
        <a:solidFill>
          <a:srgbClr val="FFFFFF"/>
        </a:solidFill>
        <a:ln w="9525">
          <a:solidFill>
            <a:srgbClr val="595959"/>
          </a:solidFill>
        </a:ln>
      </xdr:spPr>
    </xdr:sp>
    <xdr:clientData/>
  </xdr:twoCellAnchor>
  <xdr:twoCellAnchor editAs="oneCell">
    <xdr:from>
      <xdr:col>2</xdr:col>
      <xdr:colOff>385081</xdr:colOff>
      <xdr:row>26</xdr:row>
      <xdr:rowOff>163678</xdr:rowOff>
    </xdr:from>
    <xdr:to>
      <xdr:col>2</xdr:col>
      <xdr:colOff>448251</xdr:colOff>
      <xdr:row>27</xdr:row>
      <xdr:rowOff>36347</xdr:rowOff>
    </xdr:to>
    <xdr:sp macro="" textlink="">
      <xdr:nvSpPr>
        <xdr:cNvPr id="20" name="Pfosten_15" descr="wep-app"/>
        <xdr:cNvSpPr/>
      </xdr:nvSpPr>
      <xdr:spPr>
        <a:xfrm>
          <a:off x="994681" y="5192878"/>
          <a:ext cx="63170" cy="63169"/>
        </a:xfrm>
        <a:prstGeom prst="rect">
          <a:avLst/>
        </a:prstGeom>
        <a:solidFill>
          <a:srgbClr val="FFFFFF"/>
        </a:solidFill>
        <a:ln w="9525">
          <a:solidFill>
            <a:srgbClr val="595959"/>
          </a:solidFill>
        </a:ln>
      </xdr:spPr>
    </xdr:sp>
    <xdr:clientData/>
  </xdr:twoCellAnchor>
  <xdr:twoCellAnchor editAs="oneCell">
    <xdr:from>
      <xdr:col>2</xdr:col>
      <xdr:colOff>544920</xdr:colOff>
      <xdr:row>20</xdr:row>
      <xdr:rowOff>24139</xdr:rowOff>
    </xdr:from>
    <xdr:to>
      <xdr:col>2</xdr:col>
      <xdr:colOff>608090</xdr:colOff>
      <xdr:row>20</xdr:row>
      <xdr:rowOff>87309</xdr:rowOff>
    </xdr:to>
    <xdr:sp macro="" textlink="">
      <xdr:nvSpPr>
        <xdr:cNvPr id="21" name="Pfosten_16" descr="wep-app"/>
        <xdr:cNvSpPr/>
      </xdr:nvSpPr>
      <xdr:spPr>
        <a:xfrm>
          <a:off x="1154520" y="3910339"/>
          <a:ext cx="63170" cy="63170"/>
        </a:xfrm>
        <a:prstGeom prst="rect">
          <a:avLst/>
        </a:prstGeom>
        <a:solidFill>
          <a:srgbClr val="FFFFFF"/>
        </a:solidFill>
        <a:ln w="9525">
          <a:solidFill>
            <a:srgbClr val="595959"/>
          </a:solidFill>
        </a:ln>
      </xdr:spPr>
    </xdr:sp>
    <xdr:clientData/>
  </xdr:twoCellAnchor>
  <xdr:twoCellAnchor editAs="oneCell">
    <xdr:from>
      <xdr:col>2</xdr:col>
      <xdr:colOff>705716</xdr:colOff>
      <xdr:row>13</xdr:row>
      <xdr:rowOff>76058</xdr:rowOff>
    </xdr:from>
    <xdr:to>
      <xdr:col>2</xdr:col>
      <xdr:colOff>768886</xdr:colOff>
      <xdr:row>13</xdr:row>
      <xdr:rowOff>139228</xdr:rowOff>
    </xdr:to>
    <xdr:sp macro="" textlink="">
      <xdr:nvSpPr>
        <xdr:cNvPr id="22" name="Pfosten_17" descr="wep-app"/>
        <xdr:cNvSpPr/>
      </xdr:nvSpPr>
      <xdr:spPr>
        <a:xfrm>
          <a:off x="1315316" y="2628758"/>
          <a:ext cx="63170" cy="63170"/>
        </a:xfrm>
        <a:prstGeom prst="rect">
          <a:avLst/>
        </a:prstGeom>
        <a:solidFill>
          <a:srgbClr val="FFFFFF"/>
        </a:solidFill>
        <a:ln w="9525">
          <a:solidFill>
            <a:srgbClr val="595959"/>
          </a:solidFill>
        </a:ln>
      </xdr:spPr>
    </xdr:sp>
    <xdr:clientData/>
  </xdr:twoCellAnchor>
  <xdr:twoCellAnchor editAs="oneCell">
    <xdr:from>
      <xdr:col>3</xdr:col>
      <xdr:colOff>319209</xdr:colOff>
      <xdr:row>30</xdr:row>
      <xdr:rowOff>10405</xdr:rowOff>
    </xdr:from>
    <xdr:to>
      <xdr:col>3</xdr:col>
      <xdr:colOff>703971</xdr:colOff>
      <xdr:row>46</xdr:row>
      <xdr:rowOff>167794</xdr:rowOff>
    </xdr:to>
    <xdr:sp macro="" textlink="">
      <xdr:nvSpPr>
        <xdr:cNvPr id="23" name="Weg_0" descr="wep-app"/>
        <xdr:cNvSpPr/>
      </xdr:nvSpPr>
      <xdr:spPr>
        <a:xfrm>
          <a:off x="2148009" y="5801605"/>
          <a:ext cx="384762" cy="3205389"/>
        </a:xfrm>
        <a:prstGeom prst="rect">
          <a:avLst/>
        </a:prstGeom>
        <a:solidFill>
          <a:srgbClr val="EDE4D3"/>
        </a:solidFill>
        <a:ln w="12700">
          <a:solidFill>
            <a:srgbClr val="A6A6A6"/>
          </a:solidFill>
        </a:ln>
      </xdr:spPr>
      <xdr:txBody>
        <a:bodyPr vertOverflow="clip" horzOverflow="clip" wrap="none" lIns="12700" tIns="0" rIns="12700" bIns="0" rtlCol="0" anchor="ctr"/>
        <a:lstStyle/>
        <a:p>
          <a:pPr algn="ctr"/>
          <a:r>
            <a:rPr lang="de-DE" sz="900">
              <a:solidFill>
                <a:srgbClr val="000000"/>
              </a:solidFill>
              <a:latin typeface="+mn-lt"/>
            </a:rPr>
            <a:t>Weg</a:t>
          </a:r>
        </a:p>
      </xdr:txBody>
    </xdr:sp>
    <xdr:clientData/>
  </xdr:twoCellAnchor>
  <xdr:twoCellAnchor editAs="oneCell">
    <xdr:from>
      <xdr:col>3</xdr:col>
      <xdr:colOff>319209</xdr:colOff>
      <xdr:row>45</xdr:row>
      <xdr:rowOff>165913</xdr:rowOff>
    </xdr:from>
    <xdr:to>
      <xdr:col>3</xdr:col>
      <xdr:colOff>703971</xdr:colOff>
      <xdr:row>47</xdr:row>
      <xdr:rowOff>169675</xdr:rowOff>
    </xdr:to>
    <xdr:pic>
      <xdr:nvPicPr>
        <xdr:cNvPr id="24" name="Tor_0" descr="wep-app"/>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48009" y="8814613"/>
          <a:ext cx="384762" cy="384762"/>
        </a:xfrm>
        <a:prstGeom prst="rect">
          <a:avLst/>
        </a:prstGeom>
      </xdr:spPr>
    </xdr:pic>
    <xdr:clientData/>
  </xdr:twoCellAnchor>
  <xdr:twoCellAnchor editAs="oneCell">
    <xdr:from>
      <xdr:col>3</xdr:col>
      <xdr:colOff>319209</xdr:colOff>
      <xdr:row>21</xdr:row>
      <xdr:rowOff>185859</xdr:rowOff>
    </xdr:from>
    <xdr:to>
      <xdr:col>4</xdr:col>
      <xdr:colOff>385641</xdr:colOff>
      <xdr:row>28</xdr:row>
      <xdr:rowOff>134897</xdr:rowOff>
    </xdr:to>
    <xdr:sp macro="" textlink="">
      <xdr:nvSpPr>
        <xdr:cNvPr id="25" name="L" descr="wep-app"/>
        <xdr:cNvSpPr/>
      </xdr:nvSpPr>
      <xdr:spPr>
        <a:xfrm>
          <a:off x="2148009" y="4262559"/>
          <a:ext cx="1923807" cy="1282538"/>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L</a:t>
          </a:r>
        </a:p>
      </xdr:txBody>
    </xdr:sp>
    <xdr:clientData/>
  </xdr:twoCellAnchor>
  <xdr:twoCellAnchor editAs="oneCell">
    <xdr:from>
      <xdr:col>4</xdr:col>
      <xdr:colOff>385641</xdr:colOff>
      <xdr:row>23</xdr:row>
      <xdr:rowOff>125493</xdr:rowOff>
    </xdr:from>
    <xdr:to>
      <xdr:col>5</xdr:col>
      <xdr:colOff>102985</xdr:colOff>
      <xdr:row>28</xdr:row>
      <xdr:rowOff>134897</xdr:rowOff>
    </xdr:to>
    <xdr:sp macro="" textlink="">
      <xdr:nvSpPr>
        <xdr:cNvPr id="26" name="A1" descr="wep-app"/>
        <xdr:cNvSpPr/>
      </xdr:nvSpPr>
      <xdr:spPr>
        <a:xfrm>
          <a:off x="4071816" y="4583193"/>
          <a:ext cx="641269" cy="961904"/>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A1</a:t>
          </a:r>
        </a:p>
      </xdr:txBody>
    </xdr:sp>
    <xdr:clientData/>
  </xdr:twoCellAnchor>
  <xdr:twoCellAnchor editAs="oneCell">
    <xdr:from>
      <xdr:col>3</xdr:col>
      <xdr:colOff>319209</xdr:colOff>
      <xdr:row>13</xdr:row>
      <xdr:rowOff>107643</xdr:rowOff>
    </xdr:from>
    <xdr:to>
      <xdr:col>3</xdr:col>
      <xdr:colOff>1281113</xdr:colOff>
      <xdr:row>16</xdr:row>
      <xdr:rowOff>177412</xdr:rowOff>
    </xdr:to>
    <xdr:sp macro="" textlink="">
      <xdr:nvSpPr>
        <xdr:cNvPr id="27" name="S" descr="wep-app"/>
        <xdr:cNvSpPr/>
      </xdr:nvSpPr>
      <xdr:spPr>
        <a:xfrm>
          <a:off x="2148009" y="2660343"/>
          <a:ext cx="961904" cy="641269"/>
        </a:xfrm>
        <a:prstGeom prst="rect">
          <a:avLst/>
        </a:prstGeom>
        <a:solidFill>
          <a:srgbClr val="E7E6E6"/>
        </a:solidFill>
        <a:ln w="19050">
          <a:solidFill>
            <a:srgbClr val="262626"/>
          </a:solidFill>
        </a:ln>
      </xdr:spPr>
      <xdr:txBody>
        <a:bodyPr vertOverflow="clip" horzOverflow="clip" wrap="none" lIns="12700" tIns="0" rIns="12700" bIns="0" rtlCol="0" anchor="ctr"/>
        <a:lstStyle/>
        <a:p>
          <a:pPr algn="ctr"/>
          <a:r>
            <a:rPr lang="de-DE" sz="1100">
              <a:solidFill>
                <a:srgbClr val="000000"/>
              </a:solidFill>
              <a:latin typeface="+mn-lt"/>
            </a:rPr>
            <a:t>S</a:t>
          </a:r>
        </a:p>
      </xdr:txBody>
    </xdr:sp>
    <xdr:clientData/>
  </xdr:twoCellAnchor>
  <xdr:twoCellAnchor editAs="oneCell">
    <xdr:from>
      <xdr:col>3</xdr:col>
      <xdr:colOff>1499144</xdr:colOff>
      <xdr:row>32</xdr:row>
      <xdr:rowOff>14166</xdr:rowOff>
    </xdr:from>
    <xdr:to>
      <xdr:col>3</xdr:col>
      <xdr:colOff>1819779</xdr:colOff>
      <xdr:row>33</xdr:row>
      <xdr:rowOff>144301</xdr:rowOff>
    </xdr:to>
    <xdr:sp macro="" textlink="">
      <xdr:nvSpPr>
        <xdr:cNvPr id="28" name="Fliederhecke_0_0" descr="wep-app"/>
        <xdr:cNvSpPr/>
      </xdr:nvSpPr>
      <xdr:spPr>
        <a:xfrm>
          <a:off x="3327944" y="6186366"/>
          <a:ext cx="320635" cy="320635"/>
        </a:xfrm>
        <a:prstGeom prst="ellipse">
          <a:avLst/>
        </a:prstGeom>
        <a:solidFill>
          <a:srgbClr val="B4A7D6"/>
        </a:solidFill>
        <a:ln w="12700">
          <a:solidFill>
            <a:srgbClr val="7030A0"/>
          </a:solidFill>
        </a:ln>
      </xdr:spPr>
    </xdr:sp>
    <xdr:clientData/>
  </xdr:twoCellAnchor>
  <xdr:twoCellAnchor editAs="oneCell">
    <xdr:from>
      <xdr:col>3</xdr:col>
      <xdr:colOff>1576096</xdr:colOff>
      <xdr:row>33</xdr:row>
      <xdr:rowOff>37316</xdr:rowOff>
    </xdr:from>
    <xdr:to>
      <xdr:col>4</xdr:col>
      <xdr:colOff>39356</xdr:colOff>
      <xdr:row>34</xdr:row>
      <xdr:rowOff>167451</xdr:rowOff>
    </xdr:to>
    <xdr:sp macro="" textlink="">
      <xdr:nvSpPr>
        <xdr:cNvPr id="29" name="Fliederhecke_0_1" descr="wep-app"/>
        <xdr:cNvSpPr/>
      </xdr:nvSpPr>
      <xdr:spPr>
        <a:xfrm>
          <a:off x="3404896" y="6400016"/>
          <a:ext cx="320635" cy="320635"/>
        </a:xfrm>
        <a:prstGeom prst="ellipse">
          <a:avLst/>
        </a:prstGeom>
        <a:solidFill>
          <a:srgbClr val="B4A7D6"/>
        </a:solidFill>
        <a:ln w="12700">
          <a:solidFill>
            <a:srgbClr val="7030A0"/>
          </a:solidFill>
        </a:ln>
      </xdr:spPr>
    </xdr:sp>
    <xdr:clientData/>
  </xdr:twoCellAnchor>
  <xdr:twoCellAnchor editAs="oneCell">
    <xdr:from>
      <xdr:col>3</xdr:col>
      <xdr:colOff>1499144</xdr:colOff>
      <xdr:row>34</xdr:row>
      <xdr:rowOff>60466</xdr:rowOff>
    </xdr:from>
    <xdr:to>
      <xdr:col>3</xdr:col>
      <xdr:colOff>1819779</xdr:colOff>
      <xdr:row>36</xdr:row>
      <xdr:rowOff>101</xdr:rowOff>
    </xdr:to>
    <xdr:sp macro="" textlink="">
      <xdr:nvSpPr>
        <xdr:cNvPr id="30" name="Fliederhecke_0_2" descr="wep-app"/>
        <xdr:cNvSpPr/>
      </xdr:nvSpPr>
      <xdr:spPr>
        <a:xfrm>
          <a:off x="3327944" y="6613666"/>
          <a:ext cx="320635" cy="320635"/>
        </a:xfrm>
        <a:prstGeom prst="ellipse">
          <a:avLst/>
        </a:prstGeom>
        <a:solidFill>
          <a:srgbClr val="B4A7D6"/>
        </a:solidFill>
        <a:ln w="12700">
          <a:solidFill>
            <a:srgbClr val="7030A0"/>
          </a:solidFill>
        </a:ln>
      </xdr:spPr>
    </xdr:sp>
    <xdr:clientData/>
  </xdr:twoCellAnchor>
  <xdr:twoCellAnchor editAs="oneCell">
    <xdr:from>
      <xdr:col>3</xdr:col>
      <xdr:colOff>1576096</xdr:colOff>
      <xdr:row>35</xdr:row>
      <xdr:rowOff>83616</xdr:rowOff>
    </xdr:from>
    <xdr:to>
      <xdr:col>4</xdr:col>
      <xdr:colOff>39356</xdr:colOff>
      <xdr:row>37</xdr:row>
      <xdr:rowOff>23251</xdr:rowOff>
    </xdr:to>
    <xdr:sp macro="" textlink="">
      <xdr:nvSpPr>
        <xdr:cNvPr id="31" name="Fliederhecke_0_3" descr="wep-app"/>
        <xdr:cNvSpPr/>
      </xdr:nvSpPr>
      <xdr:spPr>
        <a:xfrm>
          <a:off x="3404896" y="6827316"/>
          <a:ext cx="320635" cy="320635"/>
        </a:xfrm>
        <a:prstGeom prst="ellipse">
          <a:avLst/>
        </a:prstGeom>
        <a:solidFill>
          <a:srgbClr val="B4A7D6"/>
        </a:solidFill>
        <a:ln w="12700">
          <a:solidFill>
            <a:srgbClr val="7030A0"/>
          </a:solidFill>
        </a:ln>
      </xdr:spPr>
    </xdr:sp>
    <xdr:clientData/>
  </xdr:twoCellAnchor>
  <xdr:twoCellAnchor editAs="oneCell">
    <xdr:from>
      <xdr:col>3</xdr:col>
      <xdr:colOff>1499144</xdr:colOff>
      <xdr:row>36</xdr:row>
      <xdr:rowOff>106766</xdr:rowOff>
    </xdr:from>
    <xdr:to>
      <xdr:col>3</xdr:col>
      <xdr:colOff>1819779</xdr:colOff>
      <xdr:row>38</xdr:row>
      <xdr:rowOff>46401</xdr:rowOff>
    </xdr:to>
    <xdr:sp macro="" textlink="">
      <xdr:nvSpPr>
        <xdr:cNvPr id="32" name="Fliederhecke_0_4" descr="wep-app"/>
        <xdr:cNvSpPr/>
      </xdr:nvSpPr>
      <xdr:spPr>
        <a:xfrm>
          <a:off x="3327944" y="7040966"/>
          <a:ext cx="320635" cy="320635"/>
        </a:xfrm>
        <a:prstGeom prst="ellipse">
          <a:avLst/>
        </a:prstGeom>
        <a:solidFill>
          <a:srgbClr val="B4A7D6"/>
        </a:solidFill>
        <a:ln w="12700">
          <a:solidFill>
            <a:srgbClr val="7030A0"/>
          </a:solidFill>
        </a:ln>
      </xdr:spPr>
    </xdr:sp>
    <xdr:clientData/>
  </xdr:twoCellAnchor>
  <xdr:twoCellAnchor editAs="oneCell">
    <xdr:from>
      <xdr:col>3</xdr:col>
      <xdr:colOff>1576096</xdr:colOff>
      <xdr:row>37</xdr:row>
      <xdr:rowOff>129916</xdr:rowOff>
    </xdr:from>
    <xdr:to>
      <xdr:col>4</xdr:col>
      <xdr:colOff>39356</xdr:colOff>
      <xdr:row>39</xdr:row>
      <xdr:rowOff>69551</xdr:rowOff>
    </xdr:to>
    <xdr:sp macro="" textlink="">
      <xdr:nvSpPr>
        <xdr:cNvPr id="33" name="Fliederhecke_0_5" descr="wep-app"/>
        <xdr:cNvSpPr/>
      </xdr:nvSpPr>
      <xdr:spPr>
        <a:xfrm>
          <a:off x="3404896" y="7254616"/>
          <a:ext cx="320635" cy="320635"/>
        </a:xfrm>
        <a:prstGeom prst="ellipse">
          <a:avLst/>
        </a:prstGeom>
        <a:solidFill>
          <a:srgbClr val="B4A7D6"/>
        </a:solidFill>
        <a:ln w="12700">
          <a:solidFill>
            <a:srgbClr val="7030A0"/>
          </a:solidFill>
        </a:ln>
      </xdr:spPr>
    </xdr:sp>
    <xdr:clientData/>
  </xdr:twoCellAnchor>
  <xdr:twoCellAnchor editAs="oneCell">
    <xdr:from>
      <xdr:col>3</xdr:col>
      <xdr:colOff>1499144</xdr:colOff>
      <xdr:row>38</xdr:row>
      <xdr:rowOff>153066</xdr:rowOff>
    </xdr:from>
    <xdr:to>
      <xdr:col>3</xdr:col>
      <xdr:colOff>1819779</xdr:colOff>
      <xdr:row>40</xdr:row>
      <xdr:rowOff>92701</xdr:rowOff>
    </xdr:to>
    <xdr:sp macro="" textlink="">
      <xdr:nvSpPr>
        <xdr:cNvPr id="34" name="Fliederhecke_0_6" descr="wep-app"/>
        <xdr:cNvSpPr/>
      </xdr:nvSpPr>
      <xdr:spPr>
        <a:xfrm>
          <a:off x="3327944" y="7468266"/>
          <a:ext cx="320635" cy="320635"/>
        </a:xfrm>
        <a:prstGeom prst="ellipse">
          <a:avLst/>
        </a:prstGeom>
        <a:solidFill>
          <a:srgbClr val="B4A7D6"/>
        </a:solidFill>
        <a:ln w="12700">
          <a:solidFill>
            <a:srgbClr val="7030A0"/>
          </a:solidFill>
        </a:ln>
      </xdr:spPr>
    </xdr:sp>
    <xdr:clientData/>
  </xdr:twoCellAnchor>
  <xdr:twoCellAnchor editAs="oneCell">
    <xdr:from>
      <xdr:col>3</xdr:col>
      <xdr:colOff>1576096</xdr:colOff>
      <xdr:row>39</xdr:row>
      <xdr:rowOff>176216</xdr:rowOff>
    </xdr:from>
    <xdr:to>
      <xdr:col>4</xdr:col>
      <xdr:colOff>39356</xdr:colOff>
      <xdr:row>41</xdr:row>
      <xdr:rowOff>115851</xdr:rowOff>
    </xdr:to>
    <xdr:sp macro="" textlink="">
      <xdr:nvSpPr>
        <xdr:cNvPr id="35" name="Fliederhecke_0_7" descr="wep-app"/>
        <xdr:cNvSpPr/>
      </xdr:nvSpPr>
      <xdr:spPr>
        <a:xfrm>
          <a:off x="3404896" y="7681916"/>
          <a:ext cx="320635" cy="320635"/>
        </a:xfrm>
        <a:prstGeom prst="ellipse">
          <a:avLst/>
        </a:prstGeom>
        <a:solidFill>
          <a:srgbClr val="B4A7D6"/>
        </a:solidFill>
        <a:ln w="12700">
          <a:solidFill>
            <a:srgbClr val="7030A0"/>
          </a:solidFill>
        </a:ln>
      </xdr:spPr>
    </xdr:sp>
    <xdr:clientData/>
  </xdr:twoCellAnchor>
  <xdr:twoCellAnchor editAs="oneCell">
    <xdr:from>
      <xdr:col>3</xdr:col>
      <xdr:colOff>1499144</xdr:colOff>
      <xdr:row>41</xdr:row>
      <xdr:rowOff>8866</xdr:rowOff>
    </xdr:from>
    <xdr:to>
      <xdr:col>3</xdr:col>
      <xdr:colOff>1819779</xdr:colOff>
      <xdr:row>42</xdr:row>
      <xdr:rowOff>139001</xdr:rowOff>
    </xdr:to>
    <xdr:sp macro="" textlink="">
      <xdr:nvSpPr>
        <xdr:cNvPr id="36" name="Fliederhecke_0_8" descr="wep-app"/>
        <xdr:cNvSpPr/>
      </xdr:nvSpPr>
      <xdr:spPr>
        <a:xfrm>
          <a:off x="3327944" y="7895566"/>
          <a:ext cx="320635" cy="320635"/>
        </a:xfrm>
        <a:prstGeom prst="ellipse">
          <a:avLst/>
        </a:prstGeom>
        <a:solidFill>
          <a:srgbClr val="B4A7D6"/>
        </a:solidFill>
        <a:ln w="12700">
          <a:solidFill>
            <a:srgbClr val="7030A0"/>
          </a:solidFill>
        </a:ln>
      </xdr:spPr>
    </xdr:sp>
    <xdr:clientData/>
  </xdr:twoCellAnchor>
  <xdr:twoCellAnchor editAs="oneCell">
    <xdr:from>
      <xdr:col>3</xdr:col>
      <xdr:colOff>1576096</xdr:colOff>
      <xdr:row>42</xdr:row>
      <xdr:rowOff>32016</xdr:rowOff>
    </xdr:from>
    <xdr:to>
      <xdr:col>4</xdr:col>
      <xdr:colOff>39356</xdr:colOff>
      <xdr:row>43</xdr:row>
      <xdr:rowOff>162151</xdr:rowOff>
    </xdr:to>
    <xdr:sp macro="" textlink="">
      <xdr:nvSpPr>
        <xdr:cNvPr id="37" name="Fliederhecke_0_9" descr="wep-app"/>
        <xdr:cNvSpPr/>
      </xdr:nvSpPr>
      <xdr:spPr>
        <a:xfrm>
          <a:off x="3404896" y="8109216"/>
          <a:ext cx="320635" cy="320635"/>
        </a:xfrm>
        <a:prstGeom prst="ellipse">
          <a:avLst/>
        </a:prstGeom>
        <a:solidFill>
          <a:srgbClr val="B4A7D6"/>
        </a:solidFill>
        <a:ln w="12700">
          <a:solidFill>
            <a:srgbClr val="7030A0"/>
          </a:solidFill>
        </a:ln>
      </xdr:spPr>
    </xdr:sp>
    <xdr:clientData/>
  </xdr:twoCellAnchor>
  <xdr:twoCellAnchor editAs="oneCell">
    <xdr:from>
      <xdr:col>4</xdr:col>
      <xdr:colOff>385641</xdr:colOff>
      <xdr:row>35</xdr:row>
      <xdr:rowOff>83935</xdr:rowOff>
    </xdr:from>
    <xdr:to>
      <xdr:col>5</xdr:col>
      <xdr:colOff>423620</xdr:colOff>
      <xdr:row>42</xdr:row>
      <xdr:rowOff>32973</xdr:rowOff>
    </xdr:to>
    <xdr:pic>
      <xdr:nvPicPr>
        <xdr:cNvPr id="38" name="Apfel_0" descr="wep-app"/>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71816" y="6827635"/>
          <a:ext cx="961904" cy="1282538"/>
        </a:xfrm>
        <a:prstGeom prst="rect">
          <a:avLst/>
        </a:prstGeom>
      </xdr:spPr>
    </xdr:pic>
    <xdr:clientData/>
  </xdr:twoCellAnchor>
  <xdr:twoCellAnchor editAs="oneCell">
    <xdr:from>
      <xdr:col>2</xdr:col>
      <xdr:colOff>737301</xdr:colOff>
      <xdr:row>9</xdr:row>
      <xdr:rowOff>68535</xdr:rowOff>
    </xdr:from>
    <xdr:to>
      <xdr:col>3</xdr:col>
      <xdr:colOff>480005</xdr:colOff>
      <xdr:row>16</xdr:row>
      <xdr:rowOff>17573</xdr:rowOff>
    </xdr:to>
    <xdr:pic>
      <xdr:nvPicPr>
        <xdr:cNvPr id="39" name="Bergahorn_0" descr="wep-app"/>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46901" y="1859235"/>
          <a:ext cx="961904" cy="1282538"/>
        </a:xfrm>
        <a:prstGeom prst="rect">
          <a:avLst/>
        </a:prstGeom>
      </xdr:spPr>
    </xdr:pic>
    <xdr:clientData/>
  </xdr:twoCellAnchor>
  <xdr:twoCellAnchor editAs="oneCell">
    <xdr:from>
      <xdr:col>3</xdr:col>
      <xdr:colOff>1761586</xdr:colOff>
      <xdr:row>14</xdr:row>
      <xdr:rowOff>76982</xdr:rowOff>
    </xdr:from>
    <xdr:to>
      <xdr:col>4</xdr:col>
      <xdr:colOff>609607</xdr:colOff>
      <xdr:row>16</xdr:row>
      <xdr:rowOff>80744</xdr:rowOff>
    </xdr:to>
    <xdr:sp macro="" textlink="">
      <xdr:nvSpPr>
        <xdr:cNvPr id="40" name="Kompost_0" descr="wep-app"/>
        <xdr:cNvSpPr/>
      </xdr:nvSpPr>
      <xdr:spPr>
        <a:xfrm>
          <a:off x="3590386" y="2820182"/>
          <a:ext cx="705396" cy="384762"/>
        </a:xfrm>
        <a:prstGeom prst="rect">
          <a:avLst/>
        </a:prstGeom>
        <a:solidFill>
          <a:srgbClr val="D9C3A5"/>
        </a:solidFill>
        <a:ln w="12700">
          <a:solidFill>
            <a:srgbClr val="8B5A2B"/>
          </a:solidFill>
        </a:ln>
      </xdr:spPr>
    </xdr:sp>
    <xdr:clientData/>
  </xdr:twoCellAnchor>
  <xdr:twoCellAnchor editAs="oneCell">
    <xdr:from>
      <xdr:col>4</xdr:col>
      <xdr:colOff>64685</xdr:colOff>
      <xdr:row>14</xdr:row>
      <xdr:rowOff>89682</xdr:rowOff>
    </xdr:from>
    <xdr:to>
      <xdr:col>4</xdr:col>
      <xdr:colOff>96435</xdr:colOff>
      <xdr:row>16</xdr:row>
      <xdr:rowOff>68044</xdr:rowOff>
    </xdr:to>
    <xdr:sp macro="" textlink="">
      <xdr:nvSpPr>
        <xdr:cNvPr id="41" name="Kompost_0_Latte_0" descr="wep-app"/>
        <xdr:cNvSpPr/>
      </xdr:nvSpPr>
      <xdr:spPr>
        <a:xfrm>
          <a:off x="3750860" y="2832882"/>
          <a:ext cx="31750" cy="359362"/>
        </a:xfrm>
        <a:prstGeom prst="rect">
          <a:avLst/>
        </a:prstGeom>
        <a:solidFill>
          <a:srgbClr val="8B5A2B"/>
        </a:solidFill>
        <a:ln>
          <a:noFill/>
        </a:ln>
      </xdr:spPr>
    </xdr:sp>
    <xdr:clientData/>
  </xdr:twoCellAnchor>
  <xdr:twoCellAnchor editAs="oneCell">
    <xdr:from>
      <xdr:col>4</xdr:col>
      <xdr:colOff>241034</xdr:colOff>
      <xdr:row>14</xdr:row>
      <xdr:rowOff>89682</xdr:rowOff>
    </xdr:from>
    <xdr:to>
      <xdr:col>4</xdr:col>
      <xdr:colOff>272784</xdr:colOff>
      <xdr:row>16</xdr:row>
      <xdr:rowOff>68044</xdr:rowOff>
    </xdr:to>
    <xdr:sp macro="" textlink="">
      <xdr:nvSpPr>
        <xdr:cNvPr id="42" name="Kompost_0_Latte_1" descr="wep-app"/>
        <xdr:cNvSpPr/>
      </xdr:nvSpPr>
      <xdr:spPr>
        <a:xfrm>
          <a:off x="3927209" y="2832882"/>
          <a:ext cx="31750" cy="359362"/>
        </a:xfrm>
        <a:prstGeom prst="rect">
          <a:avLst/>
        </a:prstGeom>
        <a:solidFill>
          <a:srgbClr val="8B5A2B"/>
        </a:solidFill>
        <a:ln>
          <a:noFill/>
        </a:ln>
      </xdr:spPr>
    </xdr:sp>
    <xdr:clientData/>
  </xdr:twoCellAnchor>
  <xdr:twoCellAnchor editAs="oneCell">
    <xdr:from>
      <xdr:col>4</xdr:col>
      <xdr:colOff>417383</xdr:colOff>
      <xdr:row>14</xdr:row>
      <xdr:rowOff>89682</xdr:rowOff>
    </xdr:from>
    <xdr:to>
      <xdr:col>4</xdr:col>
      <xdr:colOff>449133</xdr:colOff>
      <xdr:row>16</xdr:row>
      <xdr:rowOff>68044</xdr:rowOff>
    </xdr:to>
    <xdr:sp macro="" textlink="">
      <xdr:nvSpPr>
        <xdr:cNvPr id="43" name="Kompost_0_Latte_2" descr="wep-app"/>
        <xdr:cNvSpPr/>
      </xdr:nvSpPr>
      <xdr:spPr>
        <a:xfrm>
          <a:off x="4103558" y="2832882"/>
          <a:ext cx="31750" cy="359362"/>
        </a:xfrm>
        <a:prstGeom prst="rect">
          <a:avLst/>
        </a:prstGeom>
        <a:solidFill>
          <a:srgbClr val="8B5A2B"/>
        </a:solidFill>
        <a:ln>
          <a:noFill/>
        </a:ln>
      </xdr:spPr>
    </xdr:sp>
    <xdr:clientData/>
  </xdr:twoCellAnchor>
  <xdr:twoCellAnchor editAs="oneCell">
    <xdr:from>
      <xdr:col>3</xdr:col>
      <xdr:colOff>1269948</xdr:colOff>
      <xdr:row>44</xdr:row>
      <xdr:rowOff>9751</xdr:rowOff>
    </xdr:from>
    <xdr:to>
      <xdr:col>4</xdr:col>
      <xdr:colOff>268553</xdr:colOff>
      <xdr:row>45</xdr:row>
      <xdr:rowOff>9751</xdr:rowOff>
    </xdr:to>
    <xdr:sp macro="" textlink="">
      <xdr:nvSpPr>
        <xdr:cNvPr id="44" name="Fliederhecke_0_Text" descr="wep-app"/>
        <xdr:cNvSpPr txBox="1"/>
      </xdr:nvSpPr>
      <xdr:spPr>
        <a:xfrm>
          <a:off x="3098748" y="8467951"/>
          <a:ext cx="855980"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Fliederhecke</a:t>
          </a:r>
        </a:p>
      </xdr:txBody>
    </xdr:sp>
    <xdr:clientData/>
  </xdr:twoCellAnchor>
  <xdr:twoCellAnchor editAs="oneCell">
    <xdr:from>
      <xdr:col>4</xdr:col>
      <xdr:colOff>658631</xdr:colOff>
      <xdr:row>42</xdr:row>
      <xdr:rowOff>45673</xdr:rowOff>
    </xdr:from>
    <xdr:to>
      <xdr:col>5</xdr:col>
      <xdr:colOff>150631</xdr:colOff>
      <xdr:row>43</xdr:row>
      <xdr:rowOff>45673</xdr:rowOff>
    </xdr:to>
    <xdr:sp macro="" textlink="">
      <xdr:nvSpPr>
        <xdr:cNvPr id="45" name="Apfel_0_Text" descr="wep-app"/>
        <xdr:cNvSpPr txBox="1"/>
      </xdr:nvSpPr>
      <xdr:spPr>
        <a:xfrm>
          <a:off x="4344806" y="8122873"/>
          <a:ext cx="41592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Apfel</a:t>
          </a:r>
        </a:p>
      </xdr:txBody>
    </xdr:sp>
    <xdr:clientData/>
  </xdr:twoCellAnchor>
  <xdr:twoCellAnchor editAs="oneCell">
    <xdr:from>
      <xdr:col>2</xdr:col>
      <xdr:colOff>884561</xdr:colOff>
      <xdr:row>17</xdr:row>
      <xdr:rowOff>55673</xdr:rowOff>
    </xdr:from>
    <xdr:to>
      <xdr:col>3</xdr:col>
      <xdr:colOff>332746</xdr:colOff>
      <xdr:row>18</xdr:row>
      <xdr:rowOff>55673</xdr:rowOff>
    </xdr:to>
    <xdr:sp macro="" textlink="">
      <xdr:nvSpPr>
        <xdr:cNvPr id="46" name="Bergahorn_0_Text" descr="wep-app"/>
        <xdr:cNvSpPr txBox="1"/>
      </xdr:nvSpPr>
      <xdr:spPr>
        <a:xfrm>
          <a:off x="1494161" y="3370373"/>
          <a:ext cx="66738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Bergahorn</a:t>
          </a:r>
        </a:p>
      </xdr:txBody>
    </xdr:sp>
    <xdr:clientData/>
  </xdr:twoCellAnchor>
  <xdr:twoCellAnchor editAs="oneCell">
    <xdr:from>
      <xdr:col>3</xdr:col>
      <xdr:colOff>1843457</xdr:colOff>
      <xdr:row>13</xdr:row>
      <xdr:rowOff>64282</xdr:rowOff>
    </xdr:from>
    <xdr:to>
      <xdr:col>4</xdr:col>
      <xdr:colOff>527737</xdr:colOff>
      <xdr:row>14</xdr:row>
      <xdr:rowOff>64282</xdr:rowOff>
    </xdr:to>
    <xdr:sp macro="" textlink="">
      <xdr:nvSpPr>
        <xdr:cNvPr id="47" name="Kompost_0_Text" descr="wep-app"/>
        <xdr:cNvSpPr txBox="1"/>
      </xdr:nvSpPr>
      <xdr:spPr>
        <a:xfrm>
          <a:off x="3672257" y="2616982"/>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000000"/>
              </a:solidFill>
              <a:latin typeface="+mn-lt"/>
            </a:rPr>
            <a:t>Kompost</a:t>
          </a:r>
        </a:p>
      </xdr:txBody>
    </xdr:sp>
    <xdr:clientData/>
  </xdr:twoCellAnchor>
  <xdr:twoCellAnchor editAs="oneCell">
    <xdr:from>
      <xdr:col>2</xdr:col>
      <xdr:colOff>897140</xdr:colOff>
      <xdr:row>7</xdr:row>
      <xdr:rowOff>146129</xdr:rowOff>
    </xdr:from>
    <xdr:to>
      <xdr:col>5</xdr:col>
      <xdr:colOff>102985</xdr:colOff>
      <xdr:row>7</xdr:row>
      <xdr:rowOff>146129</xdr:rowOff>
    </xdr:to>
    <xdr:cxnSp macro="">
      <xdr:nvCxnSpPr>
        <xdr:cNvPr id="48" name="Maß_0" descr="wep-app"/>
        <xdr:cNvCxnSpPr/>
      </xdr:nvCxnSpPr>
      <xdr:spPr>
        <a:xfrm>
          <a:off x="1506740" y="1555829"/>
          <a:ext cx="3206345" cy="0"/>
        </a:xfrm>
        <a:prstGeom prst="straightConnector1">
          <a:avLst/>
        </a:prstGeom>
        <a:ln w="12700">
          <a:solidFill>
            <a:srgbClr val="C00000"/>
          </a:solidFill>
        </a:ln>
      </xdr:spPr>
    </xdr:cxnSp>
    <xdr:clientData/>
  </xdr:twoCellAnchor>
  <xdr:twoCellAnchor editAs="oneCell">
    <xdr:from>
      <xdr:col>2</xdr:col>
      <xdr:colOff>897140</xdr:colOff>
      <xdr:row>7</xdr:row>
      <xdr:rowOff>95329</xdr:rowOff>
    </xdr:from>
    <xdr:to>
      <xdr:col>2</xdr:col>
      <xdr:colOff>897140</xdr:colOff>
      <xdr:row>8</xdr:row>
      <xdr:rowOff>6429</xdr:rowOff>
    </xdr:to>
    <xdr:cxnSp macro="">
      <xdr:nvCxnSpPr>
        <xdr:cNvPr id="49" name="Maß_0_Strich1" descr="wep-app"/>
        <xdr:cNvCxnSpPr/>
      </xdr:nvCxnSpPr>
      <xdr:spPr>
        <a:xfrm>
          <a:off x="1506740" y="1505029"/>
          <a:ext cx="0" cy="101600"/>
        </a:xfrm>
        <a:prstGeom prst="straightConnector1">
          <a:avLst/>
        </a:prstGeom>
        <a:ln w="12700">
          <a:solidFill>
            <a:srgbClr val="C00000"/>
          </a:solidFill>
        </a:ln>
      </xdr:spPr>
    </xdr:cxnSp>
    <xdr:clientData/>
  </xdr:twoCellAnchor>
  <xdr:twoCellAnchor editAs="oneCell">
    <xdr:from>
      <xdr:col>5</xdr:col>
      <xdr:colOff>102985</xdr:colOff>
      <xdr:row>7</xdr:row>
      <xdr:rowOff>95329</xdr:rowOff>
    </xdr:from>
    <xdr:to>
      <xdr:col>5</xdr:col>
      <xdr:colOff>102985</xdr:colOff>
      <xdr:row>8</xdr:row>
      <xdr:rowOff>6429</xdr:rowOff>
    </xdr:to>
    <xdr:cxnSp macro="">
      <xdr:nvCxnSpPr>
        <xdr:cNvPr id="50" name="Maß_0_Strich2" descr="wep-app"/>
        <xdr:cNvCxnSpPr/>
      </xdr:nvCxnSpPr>
      <xdr:spPr>
        <a:xfrm>
          <a:off x="4713085" y="1505029"/>
          <a:ext cx="0" cy="101600"/>
        </a:xfrm>
        <a:prstGeom prst="straightConnector1">
          <a:avLst/>
        </a:prstGeom>
        <a:ln w="12700">
          <a:solidFill>
            <a:srgbClr val="C00000"/>
          </a:solidFill>
        </a:ln>
      </xdr:spPr>
    </xdr:cxnSp>
    <xdr:clientData/>
  </xdr:twoCellAnchor>
  <xdr:twoCellAnchor editAs="oneCell">
    <xdr:from>
      <xdr:col>3</xdr:col>
      <xdr:colOff>1104583</xdr:colOff>
      <xdr:row>7</xdr:row>
      <xdr:rowOff>158829</xdr:rowOff>
    </xdr:from>
    <xdr:to>
      <xdr:col>3</xdr:col>
      <xdr:colOff>1457643</xdr:colOff>
      <xdr:row>8</xdr:row>
      <xdr:rowOff>158829</xdr:rowOff>
    </xdr:to>
    <xdr:sp macro="" textlink="">
      <xdr:nvSpPr>
        <xdr:cNvPr id="51" name="Maß_0_Text" descr="wep-app"/>
        <xdr:cNvSpPr txBox="1"/>
      </xdr:nvSpPr>
      <xdr:spPr>
        <a:xfrm>
          <a:off x="2933383" y="1568529"/>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10 m</a:t>
          </a:r>
        </a:p>
      </xdr:txBody>
    </xdr:sp>
    <xdr:clientData/>
  </xdr:twoCellAnchor>
  <xdr:twoCellAnchor editAs="oneCell">
    <xdr:from>
      <xdr:col>4</xdr:col>
      <xdr:colOff>850801</xdr:colOff>
      <xdr:row>6</xdr:row>
      <xdr:rowOff>180618</xdr:rowOff>
    </xdr:from>
    <xdr:to>
      <xdr:col>6</xdr:col>
      <xdr:colOff>240122</xdr:colOff>
      <xdr:row>47</xdr:row>
      <xdr:rowOff>63434</xdr:rowOff>
    </xdr:to>
    <xdr:cxnSp macro="">
      <xdr:nvCxnSpPr>
        <xdr:cNvPr id="52" name="Maß_1" descr="wep-app"/>
        <xdr:cNvCxnSpPr/>
      </xdr:nvCxnSpPr>
      <xdr:spPr>
        <a:xfrm>
          <a:off x="4536976" y="1399818"/>
          <a:ext cx="960946" cy="7693316"/>
        </a:xfrm>
        <a:prstGeom prst="straightConnector1">
          <a:avLst/>
        </a:prstGeom>
        <a:ln w="12700">
          <a:solidFill>
            <a:srgbClr val="C00000"/>
          </a:solidFill>
        </a:ln>
      </xdr:spPr>
    </xdr:cxnSp>
    <xdr:clientData/>
  </xdr:twoCellAnchor>
  <xdr:twoCellAnchor editAs="oneCell">
    <xdr:from>
      <xdr:col>4</xdr:col>
      <xdr:colOff>800393</xdr:colOff>
      <xdr:row>6</xdr:row>
      <xdr:rowOff>174322</xdr:rowOff>
    </xdr:from>
    <xdr:to>
      <xdr:col>4</xdr:col>
      <xdr:colOff>901210</xdr:colOff>
      <xdr:row>6</xdr:row>
      <xdr:rowOff>186915</xdr:rowOff>
    </xdr:to>
    <xdr:cxnSp macro="">
      <xdr:nvCxnSpPr>
        <xdr:cNvPr id="53" name="Maß_1_Strich1" descr="wep-app"/>
        <xdr:cNvCxnSpPr/>
      </xdr:nvCxnSpPr>
      <xdr:spPr>
        <a:xfrm flipH="1">
          <a:off x="4486568" y="1393522"/>
          <a:ext cx="100817" cy="12593"/>
        </a:xfrm>
        <a:prstGeom prst="straightConnector1">
          <a:avLst/>
        </a:prstGeom>
        <a:ln w="12700">
          <a:solidFill>
            <a:srgbClr val="C00000"/>
          </a:solidFill>
        </a:ln>
      </xdr:spPr>
    </xdr:cxnSp>
    <xdr:clientData/>
  </xdr:twoCellAnchor>
  <xdr:twoCellAnchor editAs="oneCell">
    <xdr:from>
      <xdr:col>6</xdr:col>
      <xdr:colOff>189714</xdr:colOff>
      <xdr:row>47</xdr:row>
      <xdr:rowOff>57138</xdr:rowOff>
    </xdr:from>
    <xdr:to>
      <xdr:col>6</xdr:col>
      <xdr:colOff>290531</xdr:colOff>
      <xdr:row>47</xdr:row>
      <xdr:rowOff>69731</xdr:rowOff>
    </xdr:to>
    <xdr:cxnSp macro="">
      <xdr:nvCxnSpPr>
        <xdr:cNvPr id="54" name="Maß_1_Strich2" descr="wep-app"/>
        <xdr:cNvCxnSpPr/>
      </xdr:nvCxnSpPr>
      <xdr:spPr>
        <a:xfrm flipH="1">
          <a:off x="5447514" y="9086838"/>
          <a:ext cx="100817" cy="12593"/>
        </a:xfrm>
        <a:prstGeom prst="straightConnector1">
          <a:avLst/>
        </a:prstGeom>
        <a:ln w="12700">
          <a:solidFill>
            <a:srgbClr val="C00000"/>
          </a:solidFill>
        </a:ln>
      </xdr:spPr>
    </xdr:cxnSp>
    <xdr:clientData/>
  </xdr:twoCellAnchor>
  <xdr:twoCellAnchor editAs="oneCell">
    <xdr:from>
      <xdr:col>5</xdr:col>
      <xdr:colOff>394649</xdr:colOff>
      <xdr:row>27</xdr:row>
      <xdr:rowOff>147426</xdr:rowOff>
    </xdr:from>
    <xdr:to>
      <xdr:col>6</xdr:col>
      <xdr:colOff>288604</xdr:colOff>
      <xdr:row>28</xdr:row>
      <xdr:rowOff>147426</xdr:rowOff>
    </xdr:to>
    <xdr:sp macro="" textlink="">
      <xdr:nvSpPr>
        <xdr:cNvPr id="55" name="Maß_1_Text" descr="wep-app"/>
        <xdr:cNvSpPr txBox="1"/>
      </xdr:nvSpPr>
      <xdr:spPr>
        <a:xfrm>
          <a:off x="5004749" y="5367126"/>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24,19 m</a:t>
          </a:r>
        </a:p>
      </xdr:txBody>
    </xdr:sp>
    <xdr:clientData/>
  </xdr:twoCellAnchor>
  <xdr:twoCellAnchor editAs="oneCell">
    <xdr:from>
      <xdr:col>1</xdr:col>
      <xdr:colOff>364818</xdr:colOff>
      <xdr:row>46</xdr:row>
      <xdr:rowOff>53896</xdr:rowOff>
    </xdr:from>
    <xdr:to>
      <xdr:col>6</xdr:col>
      <xdr:colOff>416232</xdr:colOff>
      <xdr:row>46</xdr:row>
      <xdr:rowOff>53896</xdr:rowOff>
    </xdr:to>
    <xdr:cxnSp macro="">
      <xdr:nvCxnSpPr>
        <xdr:cNvPr id="56" name="Maß_2" descr="wep-app"/>
        <xdr:cNvCxnSpPr/>
      </xdr:nvCxnSpPr>
      <xdr:spPr>
        <a:xfrm flipH="1">
          <a:off x="545793" y="8893096"/>
          <a:ext cx="5128239" cy="0"/>
        </a:xfrm>
        <a:prstGeom prst="straightConnector1">
          <a:avLst/>
        </a:prstGeom>
        <a:ln w="12700">
          <a:solidFill>
            <a:srgbClr val="C00000"/>
          </a:solidFill>
        </a:ln>
      </xdr:spPr>
    </xdr:cxnSp>
    <xdr:clientData/>
  </xdr:twoCellAnchor>
  <xdr:twoCellAnchor editAs="oneCell">
    <xdr:from>
      <xdr:col>6</xdr:col>
      <xdr:colOff>416232</xdr:colOff>
      <xdr:row>46</xdr:row>
      <xdr:rowOff>3096</xdr:rowOff>
    </xdr:from>
    <xdr:to>
      <xdr:col>6</xdr:col>
      <xdr:colOff>416232</xdr:colOff>
      <xdr:row>46</xdr:row>
      <xdr:rowOff>104696</xdr:rowOff>
    </xdr:to>
    <xdr:cxnSp macro="">
      <xdr:nvCxnSpPr>
        <xdr:cNvPr id="57" name="Maß_2_Strich1" descr="wep-app"/>
        <xdr:cNvCxnSpPr/>
      </xdr:nvCxnSpPr>
      <xdr:spPr>
        <a:xfrm flipV="1">
          <a:off x="5674032" y="8842296"/>
          <a:ext cx="0" cy="101600"/>
        </a:xfrm>
        <a:prstGeom prst="straightConnector1">
          <a:avLst/>
        </a:prstGeom>
        <a:ln w="12700">
          <a:solidFill>
            <a:srgbClr val="C00000"/>
          </a:solidFill>
        </a:ln>
      </xdr:spPr>
    </xdr:cxnSp>
    <xdr:clientData/>
  </xdr:twoCellAnchor>
  <xdr:twoCellAnchor editAs="oneCell">
    <xdr:from>
      <xdr:col>1</xdr:col>
      <xdr:colOff>364818</xdr:colOff>
      <xdr:row>46</xdr:row>
      <xdr:rowOff>3096</xdr:rowOff>
    </xdr:from>
    <xdr:to>
      <xdr:col>1</xdr:col>
      <xdr:colOff>364818</xdr:colOff>
      <xdr:row>46</xdr:row>
      <xdr:rowOff>104696</xdr:rowOff>
    </xdr:to>
    <xdr:cxnSp macro="">
      <xdr:nvCxnSpPr>
        <xdr:cNvPr id="58" name="Maß_2_Strich2" descr="wep-app"/>
        <xdr:cNvCxnSpPr/>
      </xdr:nvCxnSpPr>
      <xdr:spPr>
        <a:xfrm flipV="1">
          <a:off x="545793" y="8842296"/>
          <a:ext cx="0" cy="101600"/>
        </a:xfrm>
        <a:prstGeom prst="straightConnector1">
          <a:avLst/>
        </a:prstGeom>
        <a:ln w="12700">
          <a:solidFill>
            <a:srgbClr val="C00000"/>
          </a:solidFill>
        </a:ln>
      </xdr:spPr>
    </xdr:cxnSp>
    <xdr:clientData/>
  </xdr:twoCellAnchor>
  <xdr:twoCellAnchor editAs="oneCell">
    <xdr:from>
      <xdr:col>3</xdr:col>
      <xdr:colOff>1104583</xdr:colOff>
      <xdr:row>45</xdr:row>
      <xdr:rowOff>41196</xdr:rowOff>
    </xdr:from>
    <xdr:to>
      <xdr:col>3</xdr:col>
      <xdr:colOff>1457643</xdr:colOff>
      <xdr:row>46</xdr:row>
      <xdr:rowOff>41196</xdr:rowOff>
    </xdr:to>
    <xdr:sp macro="" textlink="">
      <xdr:nvSpPr>
        <xdr:cNvPr id="59" name="Maß_2_Text" descr="wep-app"/>
        <xdr:cNvSpPr txBox="1"/>
      </xdr:nvSpPr>
      <xdr:spPr>
        <a:xfrm>
          <a:off x="2933383" y="8689896"/>
          <a:ext cx="353060"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16 m</a:t>
          </a:r>
        </a:p>
      </xdr:txBody>
    </xdr:sp>
    <xdr:clientData/>
  </xdr:twoCellAnchor>
  <xdr:twoCellAnchor editAs="oneCell">
    <xdr:from>
      <xdr:col>2</xdr:col>
      <xdr:colOff>112303</xdr:colOff>
      <xdr:row>6</xdr:row>
      <xdr:rowOff>180618</xdr:rowOff>
    </xdr:from>
    <xdr:to>
      <xdr:col>2</xdr:col>
      <xdr:colOff>1073249</xdr:colOff>
      <xdr:row>47</xdr:row>
      <xdr:rowOff>63434</xdr:rowOff>
    </xdr:to>
    <xdr:cxnSp macro="">
      <xdr:nvCxnSpPr>
        <xdr:cNvPr id="60" name="Maß_3" descr="wep-app"/>
        <xdr:cNvCxnSpPr/>
      </xdr:nvCxnSpPr>
      <xdr:spPr>
        <a:xfrm flipV="1">
          <a:off x="721903" y="1399818"/>
          <a:ext cx="960946" cy="7693316"/>
        </a:xfrm>
        <a:prstGeom prst="straightConnector1">
          <a:avLst/>
        </a:prstGeom>
        <a:ln w="12700">
          <a:solidFill>
            <a:srgbClr val="C00000"/>
          </a:solidFill>
        </a:ln>
      </xdr:spPr>
    </xdr:cxnSp>
    <xdr:clientData/>
  </xdr:twoCellAnchor>
  <xdr:twoCellAnchor editAs="oneCell">
    <xdr:from>
      <xdr:col>2</xdr:col>
      <xdr:colOff>61895</xdr:colOff>
      <xdr:row>47</xdr:row>
      <xdr:rowOff>57138</xdr:rowOff>
    </xdr:from>
    <xdr:to>
      <xdr:col>2</xdr:col>
      <xdr:colOff>162712</xdr:colOff>
      <xdr:row>47</xdr:row>
      <xdr:rowOff>69731</xdr:rowOff>
    </xdr:to>
    <xdr:cxnSp macro="">
      <xdr:nvCxnSpPr>
        <xdr:cNvPr id="61" name="Maß_3_Strich1" descr="wep-app"/>
        <xdr:cNvCxnSpPr/>
      </xdr:nvCxnSpPr>
      <xdr:spPr>
        <a:xfrm>
          <a:off x="671495" y="9086838"/>
          <a:ext cx="100817" cy="12593"/>
        </a:xfrm>
        <a:prstGeom prst="straightConnector1">
          <a:avLst/>
        </a:prstGeom>
        <a:ln w="12700">
          <a:solidFill>
            <a:srgbClr val="C00000"/>
          </a:solidFill>
        </a:ln>
      </xdr:spPr>
    </xdr:cxnSp>
    <xdr:clientData/>
  </xdr:twoCellAnchor>
  <xdr:twoCellAnchor editAs="oneCell">
    <xdr:from>
      <xdr:col>2</xdr:col>
      <xdr:colOff>1022841</xdr:colOff>
      <xdr:row>6</xdr:row>
      <xdr:rowOff>174322</xdr:rowOff>
    </xdr:from>
    <xdr:to>
      <xdr:col>2</xdr:col>
      <xdr:colOff>1123658</xdr:colOff>
      <xdr:row>6</xdr:row>
      <xdr:rowOff>186915</xdr:rowOff>
    </xdr:to>
    <xdr:cxnSp macro="">
      <xdr:nvCxnSpPr>
        <xdr:cNvPr id="62" name="Maß_3_Strich2" descr="wep-app"/>
        <xdr:cNvCxnSpPr/>
      </xdr:nvCxnSpPr>
      <xdr:spPr>
        <a:xfrm>
          <a:off x="1632441" y="1393522"/>
          <a:ext cx="100817" cy="12593"/>
        </a:xfrm>
        <a:prstGeom prst="straightConnector1">
          <a:avLst/>
        </a:prstGeom>
        <a:ln w="12700">
          <a:solidFill>
            <a:srgbClr val="C00000"/>
          </a:solidFill>
        </a:ln>
      </xdr:spPr>
    </xdr:cxnSp>
    <xdr:clientData/>
  </xdr:twoCellAnchor>
  <xdr:twoCellAnchor editAs="oneCell">
    <xdr:from>
      <xdr:col>2</xdr:col>
      <xdr:colOff>630876</xdr:colOff>
      <xdr:row>26</xdr:row>
      <xdr:rowOff>122026</xdr:rowOff>
    </xdr:from>
    <xdr:to>
      <xdr:col>2</xdr:col>
      <xdr:colOff>1172531</xdr:colOff>
      <xdr:row>27</xdr:row>
      <xdr:rowOff>122026</xdr:rowOff>
    </xdr:to>
    <xdr:sp macro="" textlink="">
      <xdr:nvSpPr>
        <xdr:cNvPr id="63" name="Maß_3_Text" descr="wep-app"/>
        <xdr:cNvSpPr txBox="1"/>
      </xdr:nvSpPr>
      <xdr:spPr>
        <a:xfrm>
          <a:off x="1240476" y="5151226"/>
          <a:ext cx="541655" cy="190500"/>
        </a:xfrm>
        <a:prstGeom prst="rect">
          <a:avLst/>
        </a:prstGeom>
        <a:noFill/>
        <a:ln>
          <a:noFill/>
        </a:ln>
      </xdr:spPr>
      <xdr:txBody>
        <a:bodyPr vertOverflow="clip" horzOverflow="clip" wrap="none" lIns="12700" tIns="0" rIns="12700" bIns="0" rtlCol="0" anchor="ctr"/>
        <a:lstStyle/>
        <a:p>
          <a:pPr algn="ctr"/>
          <a:r>
            <a:rPr lang="de-DE" sz="900">
              <a:solidFill>
                <a:srgbClr val="C00000"/>
              </a:solidFill>
              <a:latin typeface="+mn-lt"/>
            </a:rPr>
            <a:t>24,19 m</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t="inlineStr">
        <is>
          <t>KGA Musterwiese</t>
        </is>
      </c>
      <c r="F3" s="810"/>
      <c r="G3" s="331"/>
      <c r="H3" s="331" t="s">
        <v>418</v>
      </c>
      <c r="I3" s="623"/>
      <c r="J3" s="623"/>
      <c r="K3" s="623"/>
      <c r="L3" s="623"/>
      <c r="M3" s="623"/>
      <c r="N3" s="623"/>
    </row>
    <row r="4" spans="1:14" ht="15" x14ac:dyDescent="0.25">
      <c r="A4" s="193"/>
      <c r="B4" s="193" t="s">
        <v>52</v>
      </c>
      <c r="C4" s="193"/>
      <c r="D4" s="193"/>
      <c r="E4" s="815" t="inlineStr">
        <is>
          <t>42</t>
        </is>
      </c>
      <c r="F4" s="816"/>
      <c r="G4" s="331"/>
      <c r="H4" s="331"/>
      <c r="I4" s="331"/>
      <c r="J4" s="331"/>
      <c r="K4" s="331"/>
      <c r="L4" s="331"/>
      <c r="M4" s="331"/>
      <c r="N4" s="331"/>
    </row>
    <row r="5" spans="1:14" ht="15" x14ac:dyDescent="0.25">
      <c r="A5" s="193"/>
      <c r="B5" s="193" t="s">
        <v>516</v>
      </c>
      <c r="C5" s="193"/>
      <c r="D5" s="359"/>
      <c r="E5" s="811"/>
      <c r="F5" s="812"/>
      <c r="G5" s="331"/>
      <c r="H5" s="331" t="s">
        <v>419</v>
      </c>
      <c r="I5" s="623"/>
      <c r="J5" s="623"/>
      <c r="K5" s="623"/>
      <c r="L5" s="623"/>
      <c r="M5" s="623"/>
      <c r="N5" s="623"/>
    </row>
    <row r="6" spans="1:14" ht="15" x14ac:dyDescent="0.25">
      <c r="A6" s="193"/>
      <c r="B6" s="193" t="s">
        <v>53</v>
      </c>
      <c r="C6" s="193"/>
      <c r="D6" s="193"/>
      <c r="E6" s="813" t="inlineStr">
        <is>
          <t>Erika Musterfrau</t>
        </is>
      </c>
      <c r="F6" s="813"/>
      <c r="G6" s="331"/>
      <c r="H6" s="623" t="s">
        <v>615</v>
      </c>
      <c r="I6" s="331" t="s">
        <v>420</v>
      </c>
      <c r="J6" s="623"/>
      <c r="K6" s="623"/>
      <c r="L6" s="623"/>
      <c r="M6" s="623"/>
      <c r="N6" s="331" t="s">
        <v>621</v>
      </c>
    </row>
    <row r="7" spans="1:14" ht="15" x14ac:dyDescent="0.25">
      <c r="A7" s="193"/>
      <c r="B7" s="362" t="s">
        <v>152</v>
      </c>
      <c r="C7" s="196"/>
      <c r="D7" s="195"/>
      <c r="E7" s="812"/>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c r="F14" s="808"/>
      <c r="G14" s="331"/>
      <c r="H14" s="331" t="s">
        <v>554</v>
      </c>
      <c r="I14" s="623"/>
      <c r="J14" s="623"/>
      <c r="K14" s="623"/>
      <c r="L14" s="623"/>
      <c r="M14" s="623"/>
      <c r="N14" s="623"/>
    </row>
    <row r="15" spans="1:14" ht="15" x14ac:dyDescent="0.25">
      <c r="A15" s="193"/>
      <c r="B15" s="193" t="s">
        <v>549</v>
      </c>
      <c r="C15" s="193"/>
      <c r="D15" s="193"/>
      <c r="E15" s="640"/>
      <c r="F15" s="568"/>
      <c r="G15" s="331"/>
      <c r="H15" s="623" t="s">
        <v>616</v>
      </c>
      <c r="I15" s="331" t="s">
        <v>420</v>
      </c>
      <c r="J15" s="623"/>
      <c r="K15" s="623"/>
      <c r="L15" s="623"/>
      <c r="M15" s="623"/>
      <c r="N15" s="331" t="s">
        <v>621</v>
      </c>
    </row>
    <row r="16" spans="1:14" ht="15" x14ac:dyDescent="0.25">
      <c r="A16" s="193"/>
      <c r="B16" s="193" t="s">
        <v>56</v>
      </c>
      <c r="C16" s="193"/>
      <c r="D16" s="194"/>
      <c r="E16" s="641">
        <v>300</v>
      </c>
      <c r="F16" s="198" t="s">
        <v>61</v>
      </c>
      <c r="G16" s="331"/>
      <c r="H16" s="623" t="s">
        <v>616</v>
      </c>
      <c r="I16" s="331" t="s">
        <v>613</v>
      </c>
      <c r="J16" s="623"/>
      <c r="K16" s="623"/>
      <c r="L16" s="623"/>
      <c r="M16" s="623"/>
      <c r="N16" s="331" t="s">
        <v>625</v>
      </c>
    </row>
    <row r="17" spans="1:14" ht="15" x14ac:dyDescent="0.25">
      <c r="A17" s="358"/>
      <c r="B17" s="567" t="s">
        <v>521</v>
      </c>
      <c r="C17" s="193"/>
      <c r="D17" s="356"/>
      <c r="E17" s="642" t="inlineStr">
        <is>
          <t>2026-602</t>
        </is>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c>
      <c r="D7" s="782"/>
      <c r="E7" s="782"/>
      <c r="F7" s="782"/>
      <c r="G7" s="782"/>
    </row>
    <row r="8" spans="1:9" ht="15.75" x14ac:dyDescent="0.2">
      <c r="A8" s="788" t="s">
        <v>1</v>
      </c>
      <c r="B8" s="788"/>
      <c r="C8" s="783">
        <f>Formalien!$E$3</f>
      </c>
      <c r="D8" s="783"/>
      <c r="E8" s="783"/>
      <c r="F8" s="783"/>
      <c r="G8" s="783"/>
    </row>
    <row r="9" spans="1:9" ht="15.75" x14ac:dyDescent="0.2">
      <c r="A9" s="788" t="s">
        <v>523</v>
      </c>
      <c r="B9" s="788"/>
      <c r="C9" s="783">
        <f>IF(Formalien!$E$5="",Formalien!$E$4,Formalien!$E$4&amp;" / "&amp;Formalien!$E$5)</f>
      </c>
      <c r="D9" s="783"/>
      <c r="E9" s="783"/>
      <c r="F9" s="783"/>
      <c r="G9" s="783"/>
      <c r="I9" s="646"/>
    </row>
    <row r="10" spans="1:9" ht="15.75" x14ac:dyDescent="0.2">
      <c r="A10" s="788" t="s">
        <v>521</v>
      </c>
      <c r="B10" s="788"/>
      <c r="C10" s="688">
        <f>Formalien!$E$17</f>
      </c>
      <c r="D10" s="689"/>
      <c r="E10" s="690"/>
      <c r="F10" s="691"/>
      <c r="G10" s="691"/>
    </row>
    <row r="11" spans="1:9" ht="15.75" x14ac:dyDescent="0.2">
      <c r="A11" s="788" t="s">
        <v>145</v>
      </c>
      <c r="B11" s="788"/>
      <c r="C11" s="692">
        <f>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c>
      <c r="F13" s="787"/>
      <c r="G13" s="787"/>
    </row>
    <row r="14" spans="1:9" ht="15" customHeight="1" x14ac:dyDescent="0.2">
      <c r="A14" s="784"/>
      <c r="B14" s="780" t="s">
        <v>520</v>
      </c>
      <c r="C14" s="780"/>
      <c r="D14" s="780"/>
      <c r="E14" s="785">
        <f>Formalien!$E$13</f>
      </c>
      <c r="F14" s="786"/>
      <c r="G14" s="786"/>
    </row>
    <row r="15" spans="1:9" ht="15" customHeight="1" x14ac:dyDescent="0.2">
      <c r="A15" s="784"/>
      <c r="B15" s="780" t="s">
        <v>2</v>
      </c>
      <c r="C15" s="780"/>
      <c r="D15" s="780"/>
      <c r="E15" s="787">
        <f>Formalien!$E$10</f>
      </c>
      <c r="F15" s="787"/>
      <c r="G15" s="787"/>
    </row>
    <row r="16" spans="1:9" ht="15" customHeight="1" x14ac:dyDescent="0.2">
      <c r="A16" s="784"/>
      <c r="B16" s="780" t="s">
        <v>445</v>
      </c>
      <c r="C16" s="780"/>
      <c r="D16" s="780"/>
      <c r="E16" s="787">
        <f>Formalien!$E$11</f>
      </c>
      <c r="F16" s="787"/>
      <c r="G16" s="787"/>
    </row>
    <row r="17" spans="1:13" ht="15" customHeight="1" x14ac:dyDescent="0.2">
      <c r="A17" s="784"/>
      <c r="B17" s="780" t="s">
        <v>444</v>
      </c>
      <c r="C17" s="780"/>
      <c r="D17" s="780"/>
      <c r="E17" s="787">
        <f>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685">
        <f>MAX('Aufwuchs I'!L46,'Aufwuchs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c>
      <c r="E2" s="859"/>
      <c r="F2" s="872"/>
      <c r="G2" s="872"/>
      <c r="H2" s="363" t="s">
        <v>519</v>
      </c>
      <c r="I2" s="868">
        <f>Formalien!$E$4</f>
      </c>
      <c r="J2" s="868"/>
      <c r="K2" s="868"/>
    </row>
    <row r="3" spans="1:20" s="1" customFormat="1" x14ac:dyDescent="0.25">
      <c r="A3" s="849" t="s">
        <v>65</v>
      </c>
      <c r="B3" s="849"/>
      <c r="C3" s="849"/>
      <c r="D3" s="849"/>
      <c r="E3" s="366">
        <f>Formalien!$E$16</f>
      </c>
      <c r="F3" s="364" t="s">
        <v>61</v>
      </c>
      <c r="G3" s="508"/>
      <c r="H3" s="508"/>
      <c r="I3" s="870">
        <f>Formalien!$E$5</f>
      </c>
      <c r="J3" s="871"/>
      <c r="K3" s="871"/>
    </row>
    <row r="4" spans="1:20" s="1" customFormat="1" x14ac:dyDescent="0.25">
      <c r="A4" s="849" t="s">
        <v>0</v>
      </c>
      <c r="B4" s="849"/>
      <c r="C4" s="849"/>
      <c r="D4" s="849"/>
      <c r="E4" s="869">
        <f>Formalien!$E$6</f>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inlineStr">
        <is>
          <t>für 2026</t>
        </is>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inlineStr">
        <is>
          <t>L</t>
        </is>
      </c>
      <c r="E12" s="374" t="s">
        <v>4</v>
      </c>
      <c r="F12">
        <f>Tabelle1!$D$88</f>
      </c>
      <c r="G12" s="848" t="inlineStr">
        <is>
          <t>fehlt</t>
        </is>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c>
      <c r="D14" s="374" t="s">
        <v>16</v>
      </c>
      <c r="E14" s="387"/>
      <c r="F14" s="844" t="s">
        <v>299</v>
      </c>
      <c r="G14" s="844"/>
      <c r="H14" s="388">
        <f>ROUND(C14-C14*E14/100,2)</f>
      </c>
      <c r="I14" s="388"/>
      <c r="J14" s="384"/>
      <c r="M14" s="365"/>
      <c r="N14" s="342"/>
      <c r="O14" s="342"/>
      <c r="P14" s="834"/>
      <c r="Q14" s="834"/>
      <c r="R14" s="834"/>
      <c r="S14" s="373"/>
      <c r="T14" s="373"/>
    </row>
    <row r="15" spans="1:20" ht="16.5" customHeight="1" thickBot="1" x14ac:dyDescent="0.3">
      <c r="B15" s="388"/>
      <c r="C15" s="389">
        <f>$H$14</f>
      </c>
      <c r="D15" s="374" t="s">
        <v>16</v>
      </c>
      <c r="E15" s="390">
        <f>Tabelle1!$I$90</f>
      </c>
      <c r="F15" s="834" t="s">
        <v>300</v>
      </c>
      <c r="G15" s="834"/>
      <c r="H15" s="388">
        <f>ROUND(C15-C15*E15%,2)</f>
      </c>
      <c r="J15" s="384"/>
      <c r="M15" s="391" t="s">
        <v>44</v>
      </c>
      <c r="N15" s="392" t="s">
        <v>154</v>
      </c>
      <c r="O15" s="393"/>
      <c r="P15" s="394" t="s">
        <v>14</v>
      </c>
      <c r="S15" s="372"/>
      <c r="T15" s="373"/>
    </row>
    <row r="16" spans="1:20" ht="16.5" customHeight="1" thickBot="1" x14ac:dyDescent="0.3">
      <c r="C16" s="395">
        <f>$H$15</f>
      </c>
      <c r="D16" s="379" t="s">
        <v>18</v>
      </c>
      <c r="E16" s="372">
        <f>H7/100</f>
      </c>
      <c r="F16" s="836" t="s">
        <v>436</v>
      </c>
      <c r="G16" s="836"/>
      <c r="H16" s="388">
        <f>ROUND(C16*E16,2)</f>
      </c>
      <c r="J16" s="384"/>
      <c r="M16" s="396" t="s">
        <v>40</v>
      </c>
      <c r="N16" s="863" t="s">
        <v>40</v>
      </c>
      <c r="O16" s="864"/>
      <c r="P16" s="397"/>
    </row>
    <row r="17" spans="1:18" ht="16.5" customHeight="1" thickBot="1" x14ac:dyDescent="0.3">
      <c r="A17" s="398"/>
      <c r="B17" s="372" t="s">
        <v>185</v>
      </c>
      <c r="C17" s="384">
        <f>$H$16</f>
      </c>
      <c r="D17" s="399" t="s">
        <v>9</v>
      </c>
      <c r="E17" s="384">
        <f>ROUND(A17*C17,2)</f>
      </c>
      <c r="F17" s="835"/>
      <c r="G17" s="835"/>
      <c r="H17" s="835"/>
      <c r="I17" s="378" t="s">
        <v>158</v>
      </c>
      <c r="J17" s="400" t="str">
        <f>$B$12</f>
      </c>
      <c r="K17" s="645">
        <f>E17</f>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c>
      <c r="O18" s="404"/>
      <c r="P18" s="405">
        <v>595</v>
      </c>
    </row>
    <row r="19" spans="1:18" ht="16.5" customHeight="1" thickBot="1" x14ac:dyDescent="0.3">
      <c r="A19" s="378" t="s">
        <v>5</v>
      </c>
      <c r="B19" s="694" t="s">
        <v>536</v>
      </c>
      <c r="C19" s="806" t="s">
        <v>631</v>
      </c>
      <c r="D19" s="806"/>
      <c r="E19" s="806"/>
      <c r="F19" s="806"/>
      <c r="G19" s="806"/>
      <c r="H19" s="806"/>
      <c r="I19" s="695"/>
      <c r="J19" t="s">
        <v>79</v>
      </c>
      <c r="M19" s="402" t="s">
        <v>161</v>
      </c>
      <c r="N19" s="403" t="str">
        <f>N47</f>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inlineStr">
        <is>
          <t>A1</t>
        </is>
      </c>
      <c r="E21" s="374" t="s">
        <v>4</v>
      </c>
      <c r="F21" s="372">
        <f>Tabelle1!$D$93</f>
      </c>
      <c r="G21" s="848" t="inlineStr">
        <is>
          <t>fehlt</t>
        </is>
      </c>
      <c r="H21" s="848"/>
      <c r="I21" s="848"/>
      <c r="J21" s="848"/>
      <c r="M21" s="402" t="s">
        <v>162</v>
      </c>
      <c r="N21" s="410" t="str">
        <f>N48</f>
      </c>
      <c r="O21" s="411"/>
      <c r="P21" s="405">
        <v>350</v>
      </c>
    </row>
    <row r="22" spans="1:18" ht="16.5" customHeight="1" x14ac:dyDescent="0.25">
      <c r="B22" s="372" t="s">
        <v>122</v>
      </c>
      <c r="C22" s="382"/>
      <c r="D22" s="843"/>
      <c r="E22" s="843"/>
      <c r="F22" s="843"/>
      <c r="H22" s="374" t="s">
        <v>298</v>
      </c>
      <c r="I22" s="383"/>
      <c r="J22" s="384"/>
      <c r="K22" s="315"/>
      <c r="M22" s="412" t="s">
        <v>163</v>
      </c>
      <c r="N22" s="403" t="str">
        <f>N49</f>
      </c>
      <c r="O22" s="404"/>
      <c r="P22" s="405">
        <v>490</v>
      </c>
    </row>
    <row r="23" spans="1:18" ht="16.5" customHeight="1" x14ac:dyDescent="0.25">
      <c r="B23" s="374" t="s">
        <v>6</v>
      </c>
      <c r="C23" s="386">
        <f>Tabelle1!$B$95</f>
      </c>
      <c r="D23" s="374" t="s">
        <v>16</v>
      </c>
      <c r="E23" s="387"/>
      <c r="F23" s="844" t="s">
        <v>299</v>
      </c>
      <c r="G23" s="844"/>
      <c r="H23" s="388">
        <f>ROUND(C23-C23*E23/100,2)</f>
      </c>
      <c r="I23" s="388"/>
      <c r="J23" s="384"/>
      <c r="M23" s="402" t="s">
        <v>42</v>
      </c>
      <c r="N23" s="817" t="s">
        <v>42</v>
      </c>
      <c r="O23" s="818"/>
      <c r="P23" s="405"/>
    </row>
    <row r="24" spans="1:18" ht="16.5" customHeight="1" x14ac:dyDescent="0.25">
      <c r="B24" s="388"/>
      <c r="C24" s="395">
        <f>$H$23</f>
      </c>
      <c r="D24" s="374" t="s">
        <v>16</v>
      </c>
      <c r="E24" s="390">
        <f>Tabelle1!$I$95</f>
      </c>
      <c r="F24" s="834" t="s">
        <v>300</v>
      </c>
      <c r="G24" s="834"/>
      <c r="H24" s="388">
        <f>ROUND(C24-C24*E24%,2)</f>
      </c>
      <c r="J24" s="384"/>
      <c r="M24" s="402" t="s">
        <v>164</v>
      </c>
      <c r="N24" s="403" t="str">
        <f t="shared" ref="N24:N29" si="0">N50</f>
      </c>
      <c r="O24" s="404"/>
      <c r="P24" s="405">
        <v>420</v>
      </c>
    </row>
    <row r="25" spans="1:18" ht="16.5" customHeight="1" thickBot="1" x14ac:dyDescent="0.3">
      <c r="C25" s="388">
        <f>$H$24</f>
      </c>
      <c r="D25" s="379" t="s">
        <v>18</v>
      </c>
      <c r="E25" s="372">
        <f>H7/100</f>
      </c>
      <c r="F25" s="836" t="s">
        <v>436</v>
      </c>
      <c r="G25" s="836"/>
      <c r="H25" s="388">
        <f>ROUND(C25*E25,2)</f>
      </c>
      <c r="J25" s="384"/>
      <c r="M25" s="402" t="s">
        <v>165</v>
      </c>
      <c r="N25" s="403" t="str">
        <f t="shared" si="0"/>
      </c>
      <c r="O25" s="404"/>
      <c r="P25" s="405">
        <v>555</v>
      </c>
    </row>
    <row r="26" spans="1:18" ht="16.5" customHeight="1" thickBot="1" x14ac:dyDescent="0.3">
      <c r="A26" s="398"/>
      <c r="B26" s="372" t="s">
        <v>185</v>
      </c>
      <c r="C26" s="384">
        <f>$H$25</f>
      </c>
      <c r="D26" s="399" t="s">
        <v>9</v>
      </c>
      <c r="E26" s="384">
        <f>ROUND(A26*C26,2)</f>
      </c>
      <c r="F26" s="835"/>
      <c r="G26" s="835"/>
      <c r="H26" s="835"/>
      <c r="I26" s="378" t="s">
        <v>158</v>
      </c>
      <c r="J26" s="414" t="str">
        <f>$B$21</f>
      </c>
      <c r="K26" s="401">
        <f>E26</f>
      </c>
      <c r="M26" s="402" t="s">
        <v>166</v>
      </c>
      <c r="N26" s="403" t="str">
        <f t="shared" si="0"/>
        <v xml:space="preserve">Blockhaus ab 9,0 cm </v>
      </c>
      <c r="O26" s="404"/>
      <c r="P26" s="405">
        <v>672</v>
      </c>
    </row>
    <row r="27" spans="1:18" ht="15.75" thickBot="1" x14ac:dyDescent="0.3">
      <c r="A27" s="406" t="s">
        <v>186</v>
      </c>
      <c r="M27" s="402" t="s">
        <v>164</v>
      </c>
      <c r="N27" s="415" t="str">
        <f t="shared" si="0"/>
      </c>
      <c r="O27" s="416"/>
      <c r="P27" s="405">
        <v>420</v>
      </c>
    </row>
    <row r="28" spans="1:18" ht="15.75" thickBot="1" x14ac:dyDescent="0.3">
      <c r="A28" s="378" t="s">
        <v>5</v>
      </c>
      <c r="B28" s="694" t="s">
        <v>360</v>
      </c>
      <c r="C28" s="806" t="s">
        <v>632</v>
      </c>
      <c r="D28" s="806"/>
      <c r="E28" s="806"/>
      <c r="F28" s="806"/>
      <c r="G28" s="806"/>
      <c r="H28" s="806"/>
      <c r="I28" s="695"/>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c>
      <c r="O29" s="416"/>
      <c r="P29" s="405">
        <v>672</v>
      </c>
    </row>
    <row r="30" spans="1:18" ht="16.5" customHeight="1" x14ac:dyDescent="0.25">
      <c r="A30" s="380" t="s">
        <v>5</v>
      </c>
      <c r="B30" s="381" t="inlineStr">
        <is>
          <t>A2</t>
        </is>
      </c>
      <c r="E30" s="374" t="s">
        <v>4</v>
      </c>
      <c r="F30" s="372">
        <f>Tabelle1!$D$98</f>
      </c>
      <c r="G30" s="848" t="inlineStr">
        <is>
          <t>fehlt</t>
        </is>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c>
      <c r="D32" s="374" t="s">
        <v>16</v>
      </c>
      <c r="E32" s="387"/>
      <c r="F32" s="844" t="s">
        <v>299</v>
      </c>
      <c r="G32" s="844"/>
      <c r="H32" s="388">
        <f>ROUND(C32-C32*E32/100,2)</f>
      </c>
      <c r="I32" s="388"/>
      <c r="J32" s="384"/>
      <c r="M32" s="402" t="s">
        <v>168</v>
      </c>
      <c r="N32" s="423" t="str">
        <f>N61</f>
      </c>
      <c r="O32" s="424"/>
      <c r="P32" s="405">
        <v>325</v>
      </c>
      <c r="Q32" s="372"/>
      <c r="R32" s="372"/>
    </row>
    <row r="33" spans="1:18" ht="16.5" customHeight="1" x14ac:dyDescent="0.25">
      <c r="B33" s="388"/>
      <c r="C33" s="395">
        <f>$H$32</f>
      </c>
      <c r="D33" s="374" t="s">
        <v>16</v>
      </c>
      <c r="E33" s="418">
        <f>Tabelle1!$I$100</f>
      </c>
      <c r="F33" s="834" t="s">
        <v>300</v>
      </c>
      <c r="G33" s="834"/>
      <c r="H33" s="388">
        <f>ROUND(C33-C33*E33%,2)</f>
      </c>
      <c r="J33" s="384"/>
      <c r="M33" s="402" t="s">
        <v>169</v>
      </c>
      <c r="N33" s="423" t="str">
        <f>N62</f>
      </c>
      <c r="O33" s="424"/>
      <c r="P33" s="405">
        <v>420</v>
      </c>
      <c r="Q33" s="372"/>
      <c r="R33" s="372"/>
    </row>
    <row r="34" spans="1:18" ht="16.5" customHeight="1" thickBot="1" x14ac:dyDescent="0.3">
      <c r="C34" s="388">
        <f>$H$33</f>
      </c>
      <c r="D34" s="379" t="s">
        <v>18</v>
      </c>
      <c r="E34" s="372">
        <f>$E$16</f>
      </c>
      <c r="F34" s="836" t="s">
        <v>436</v>
      </c>
      <c r="G34" s="836"/>
      <c r="H34" s="388">
        <f>ROUND(C34*E34,2)</f>
      </c>
      <c r="J34" s="384"/>
      <c r="M34" s="402" t="s">
        <v>167</v>
      </c>
      <c r="N34" s="423" t="str">
        <f>N63</f>
      </c>
      <c r="O34" s="424"/>
      <c r="P34" s="405">
        <v>265</v>
      </c>
      <c r="Q34" s="372"/>
      <c r="R34" s="372"/>
    </row>
    <row r="35" spans="1:18" ht="16.5" customHeight="1" thickBot="1" x14ac:dyDescent="0.3">
      <c r="A35" s="398"/>
      <c r="B35" s="372" t="s">
        <v>185</v>
      </c>
      <c r="C35" s="384">
        <f>$H$34</f>
      </c>
      <c r="D35" s="399" t="s">
        <v>9</v>
      </c>
      <c r="E35" s="384">
        <f>ROUND(A35*C35,2)</f>
      </c>
      <c r="F35" s="835"/>
      <c r="G35" s="835"/>
      <c r="H35" s="835"/>
      <c r="I35" s="378" t="s">
        <v>158</v>
      </c>
      <c r="J35" s="422" t="str">
        <f>$B$30</f>
      </c>
      <c r="K35" s="401">
        <f>E35</f>
      </c>
      <c r="M35" s="419" t="s">
        <v>169</v>
      </c>
      <c r="N35" s="425" t="str">
        <f>N65</f>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c r="J37" t="s">
        <v>79</v>
      </c>
    </row>
    <row r="38" spans="1:18" ht="16.149999999999999" customHeight="1" thickBot="1" x14ac:dyDescent="0.3">
      <c r="A38" s="378"/>
      <c r="B38" s="854" t="s">
        <v>633</v>
      </c>
      <c r="C38" s="806"/>
      <c r="D38" s="806"/>
      <c r="E38" s="806"/>
      <c r="F38" s="855"/>
      <c r="G38" s="855"/>
      <c r="H38"/>
      <c r="I38" s="695">
        <f>I19+I28+I37</f>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inlineStr">
        <is>
          <t>GWH</t>
        </is>
      </c>
      <c r="E40" s="834" t="s">
        <v>175</v>
      </c>
      <c r="F40" s="834"/>
      <c r="G40" s="398"/>
      <c r="H40" s="374" t="s">
        <v>183</v>
      </c>
      <c r="I40" s="505"/>
    </row>
    <row r="41" spans="1:18" ht="16.5" customHeight="1" x14ac:dyDescent="0.25">
      <c r="C41" s="372" t="s">
        <v>14</v>
      </c>
      <c r="D41" s="503"/>
      <c r="E41" s="372" t="s">
        <v>16</v>
      </c>
      <c r="F41" s="504">
        <v>0</v>
      </c>
      <c r="G41" s="374" t="s">
        <v>57</v>
      </c>
      <c r="H41" s="399" t="s">
        <v>9</v>
      </c>
      <c r="I41" s="426">
        <f>ROUND(D41-D41*F41,2)</f>
      </c>
      <c r="M41" s="331"/>
      <c r="N41" s="365"/>
      <c r="O41" s="331"/>
      <c r="P41" s="342"/>
    </row>
    <row r="42" spans="1:18" ht="16.5" customHeight="1" x14ac:dyDescent="0.25">
      <c r="C42" s="373">
        <f>I41</f>
      </c>
      <c r="D42" s="372" t="s">
        <v>16</v>
      </c>
      <c r="E42" s="372">
        <f>I40*G40</f>
      </c>
      <c r="F42" s="379" t="s">
        <v>188</v>
      </c>
      <c r="G42" s="379"/>
      <c r="H42" s="399">
        <v>5</v>
      </c>
      <c r="I42" s="373">
        <f>IF(E42&gt;99,"abgeschrieben",ROUND(C42-C42*E42%,2))</f>
      </c>
    </row>
    <row r="43" spans="1:18" ht="16.5" customHeight="1" thickBot="1" x14ac:dyDescent="0.3">
      <c r="C43" s="373">
        <f>IF(I42="abgeschrieben",0,I42)</f>
      </c>
      <c r="D43" s="372" t="s">
        <v>18</v>
      </c>
      <c r="E43" s="372">
        <f>H7/100</f>
      </c>
      <c r="F43" s="860" t="s">
        <v>13</v>
      </c>
      <c r="G43" s="860"/>
      <c r="H43" s="399" t="s">
        <v>9</v>
      </c>
      <c r="I43" s="373">
        <f>ROUND(C43*E43,2)</f>
      </c>
    </row>
    <row r="44" spans="1:18" ht="15.75" thickBot="1" x14ac:dyDescent="0.3">
      <c r="A44" s="372" t="s">
        <v>439</v>
      </c>
      <c r="F44" s="398"/>
      <c r="G44" s="372" t="s">
        <v>17</v>
      </c>
      <c r="H44" s="373">
        <f>I43</f>
      </c>
      <c r="I44" s="399" t="s">
        <v>440</v>
      </c>
      <c r="J44" s="427" t="str">
        <f>$D$40</f>
      </c>
      <c r="K44" s="401">
        <f>ROUND(F44*H44,2)</f>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c>
      <c r="P46" s="76" t="s">
        <v>328</v>
      </c>
      <c r="Q46" s="76"/>
      <c r="R46" s="76">
        <v>3</v>
      </c>
    </row>
    <row r="47" spans="1:18" x14ac:dyDescent="0.25">
      <c r="A47" s="380" t="s">
        <v>5</v>
      </c>
      <c r="B47" s="381" t="inlineStr">
        <is>
          <t>S oder U</t>
        </is>
      </c>
      <c r="E47" s="374" t="s">
        <v>4</v>
      </c>
      <c r="F47" s="372">
        <f>Tabelle1!$D$103</f>
      </c>
      <c r="G47" s="848" t="inlineStr">
        <is>
          <t>fehlt</t>
        </is>
      </c>
      <c r="H47" s="848"/>
      <c r="I47" s="848"/>
      <c r="J47" s="434"/>
      <c r="N47" s="433" t="str">
        <f>Tabelle1!J89</f>
      </c>
      <c r="P47" s="76" t="s">
        <v>329</v>
      </c>
      <c r="Q47" s="76"/>
      <c r="R47" s="76">
        <v>4</v>
      </c>
    </row>
    <row r="48" spans="1:18" x14ac:dyDescent="0.25">
      <c r="B48" s="372" t="s">
        <v>122</v>
      </c>
      <c r="C48" s="382"/>
      <c r="D48" s="842"/>
      <c r="E48" s="843"/>
      <c r="F48" s="843"/>
      <c r="H48" s="374" t="s">
        <v>298</v>
      </c>
      <c r="I48" s="383"/>
      <c r="J48" s="384"/>
      <c r="K48" s="315"/>
      <c r="N48" s="433" t="str">
        <f>Tabelle1!J90</f>
      </c>
      <c r="P48" s="76" t="s">
        <v>330</v>
      </c>
      <c r="Q48" s="76"/>
      <c r="R48" s="76">
        <v>5</v>
      </c>
    </row>
    <row r="49" spans="1:18" x14ac:dyDescent="0.25">
      <c r="B49" s="374" t="s">
        <v>6</v>
      </c>
      <c r="C49" s="386">
        <f>Tabelle1!$B$105</f>
      </c>
      <c r="D49" s="374" t="s">
        <v>16</v>
      </c>
      <c r="E49" s="435"/>
      <c r="F49" s="844" t="s">
        <v>299</v>
      </c>
      <c r="G49" s="844"/>
      <c r="H49" s="388">
        <f>ROUND(C49-C49*E49/100,2)</f>
      </c>
      <c r="I49" s="388"/>
      <c r="J49" s="384"/>
      <c r="N49" s="433" t="str">
        <f>Tabelle1!J91</f>
      </c>
      <c r="P49" s="76" t="s">
        <v>331</v>
      </c>
      <c r="Q49" s="76"/>
      <c r="R49" s="76">
        <v>7</v>
      </c>
    </row>
    <row r="50" spans="1:18" x14ac:dyDescent="0.25">
      <c r="B50" s="388"/>
      <c r="C50" s="388">
        <f>H49</f>
      </c>
      <c r="D50" s="374" t="s">
        <v>16</v>
      </c>
      <c r="E50" s="418">
        <f>Tabelle1!$I$105</f>
      </c>
      <c r="F50" s="844" t="s">
        <v>300</v>
      </c>
      <c r="G50" s="844"/>
      <c r="H50" s="388">
        <f>ROUND(C50-C50*E50%,2)</f>
      </c>
      <c r="J50" s="384"/>
      <c r="N50" s="433" t="str">
        <f>Tabelle1!J92</f>
      </c>
      <c r="P50" s="76" t="s">
        <v>332</v>
      </c>
      <c r="Q50" s="76"/>
      <c r="R50" s="76">
        <v>10</v>
      </c>
    </row>
    <row r="51" spans="1:18" x14ac:dyDescent="0.25">
      <c r="C51" s="388">
        <f>H50</f>
      </c>
      <c r="D51" s="379" t="s">
        <v>18</v>
      </c>
      <c r="E51" s="372">
        <f>H7/100</f>
      </c>
      <c r="F51" s="379" t="s">
        <v>436</v>
      </c>
      <c r="G51" s="379"/>
      <c r="H51" s="388">
        <f>ROUND(C51*E51,2)</f>
      </c>
      <c r="J51" s="384"/>
      <c r="N51" s="433" t="str">
        <f>Tabelle1!J93</f>
      </c>
    </row>
    <row r="52" spans="1:18" ht="15.75" thickBot="1" x14ac:dyDescent="0.3">
      <c r="A52" s="398"/>
      <c r="B52" s="372" t="s">
        <v>185</v>
      </c>
      <c r="C52" s="388">
        <f>$H$51</f>
      </c>
      <c r="D52" s="399" t="s">
        <v>9</v>
      </c>
      <c r="E52" s="384">
        <f>ROUND(A52*C52,2)</f>
      </c>
      <c r="F52" s="287"/>
      <c r="G52" s="287"/>
      <c r="H52" s="287"/>
      <c r="I52" s="378" t="s">
        <v>158</v>
      </c>
      <c r="J52" s="414">
        <f>$B$47</f>
      </c>
      <c r="K52" s="384">
        <f>E52</f>
      </c>
      <c r="N52" s="433" t="str">
        <f>Tabelle1!J94</f>
        <v xml:space="preserve">Blockhaus ab 9,0 cm </v>
      </c>
    </row>
    <row r="53" spans="1:18" ht="14.45" customHeight="1" thickBot="1" x14ac:dyDescent="0.3">
      <c r="A53" s="406" t="s">
        <v>186</v>
      </c>
      <c r="I53" s="372" t="s">
        <v>296</v>
      </c>
      <c r="J53" s="436"/>
      <c r="K53" s="437">
        <f>SUM(K14:K52)</f>
      </c>
      <c r="N53" s="438" t="str">
        <f>Tabelle1!J95</f>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c>
    </row>
    <row r="56" spans="1:18" x14ac:dyDescent="0.25">
      <c r="A56" s="849" t="s">
        <v>1</v>
      </c>
      <c r="B56" s="850"/>
      <c r="C56" s="850"/>
      <c r="D56" s="858">
        <f>Formalien!$E$3</f>
      </c>
      <c r="E56" s="859"/>
      <c r="F56" s="806"/>
      <c r="G56" s="806"/>
      <c r="H56" s="363" t="s">
        <v>3</v>
      </c>
      <c r="I56" s="369">
        <f>Formalien!$E$4</f>
      </c>
      <c r="J56" s="1"/>
      <c r="K56" s="1"/>
      <c r="N56" s="438"/>
    </row>
    <row r="57" spans="1:18" x14ac:dyDescent="0.25">
      <c r="A57" s="849" t="s">
        <v>65</v>
      </c>
      <c r="B57" s="795"/>
      <c r="C57" s="795"/>
      <c r="D57" s="366">
        <f>Formalien!$E$16</f>
      </c>
      <c r="E57" s="364" t="s">
        <v>61</v>
      </c>
      <c r="F57" s="365"/>
      <c r="G57" s="341"/>
      <c r="H57" s="341"/>
      <c r="I57" s="856"/>
      <c r="J57" s="806"/>
      <c r="K57" s="806"/>
      <c r="N57" s="438"/>
    </row>
    <row r="58" spans="1:18" x14ac:dyDescent="0.25">
      <c r="A58" s="849" t="s">
        <v>0</v>
      </c>
      <c r="B58" s="795"/>
      <c r="C58" s="795"/>
      <c r="D58" s="861">
        <f>Formalien!$E$6</f>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c>
      <c r="N61" s="433" t="str">
        <f>Tabelle1!J99</f>
      </c>
    </row>
    <row r="62" spans="1:18" x14ac:dyDescent="0.25">
      <c r="A62" s="830" t="s">
        <v>15</v>
      </c>
      <c r="B62" s="830"/>
      <c r="C62" s="830"/>
      <c r="D62" s="830"/>
      <c r="E62" s="378" t="s">
        <v>5</v>
      </c>
      <c r="F62" s="440" t="inlineStr">
        <is>
          <t>Ü1</t>
        </is>
      </c>
      <c r="H62" s="374"/>
      <c r="J62"/>
      <c r="L62" s="829" t="s">
        <v>441</v>
      </c>
      <c r="M62" s="829"/>
      <c r="N62" s="433" t="str">
        <f>Tabelle1!J100</f>
      </c>
    </row>
    <row r="63" spans="1:18" x14ac:dyDescent="0.25">
      <c r="A63" s="375" t="s">
        <v>142</v>
      </c>
      <c r="D63" s="372" t="s">
        <v>14</v>
      </c>
      <c r="E63" s="441">
        <v>0</v>
      </c>
      <c r="F63" s="372" t="s">
        <v>16</v>
      </c>
      <c r="G63" s="442">
        <f>IF(E63&gt;0,E14,0)</f>
      </c>
      <c r="H63" s="374" t="s">
        <v>301</v>
      </c>
      <c r="I63" s="436">
        <f>ROUND(E63-E63*G63%,2)</f>
      </c>
      <c r="L63" s="829"/>
      <c r="M63" s="829"/>
      <c r="N63" s="433" t="str">
        <f>Tabelle1!J101</f>
      </c>
    </row>
    <row r="64" spans="1:18" x14ac:dyDescent="0.25">
      <c r="C64" s="443">
        <f>I63</f>
      </c>
      <c r="D64" s="372" t="s">
        <v>16</v>
      </c>
      <c r="E64" s="372">
        <f>IF(C64&gt;0,E15,0)</f>
      </c>
      <c r="F64" s="844" t="s">
        <v>297</v>
      </c>
      <c r="G64" s="844"/>
      <c r="H64" s="844"/>
      <c r="I64" s="373">
        <f>ROUND(C64-C64*E64%,2)</f>
      </c>
      <c r="L64" s="829"/>
      <c r="M64" s="829"/>
      <c r="N64" s="433" t="str">
        <f>Tabelle1!J102</f>
        <v xml:space="preserve">Doppelwand 4,01 - 8,00 cm </v>
      </c>
    </row>
    <row r="65" spans="1:15" ht="15" customHeight="1" x14ac:dyDescent="0.25">
      <c r="C65" s="443"/>
      <c r="F65" s="376"/>
      <c r="G65" s="376"/>
      <c r="H65" s="376"/>
      <c r="I65" s="373"/>
      <c r="L65" s="829"/>
      <c r="M65" s="829"/>
      <c r="N65" s="433" t="str">
        <f>Tabelle1!J103</f>
      </c>
    </row>
    <row r="66" spans="1:15" ht="15.75" thickBot="1" x14ac:dyDescent="0.3">
      <c r="A66" s="444" t="s">
        <v>143</v>
      </c>
      <c r="B66" s="287"/>
      <c r="C66" s="288" t="s">
        <v>140</v>
      </c>
      <c r="D66" s="288"/>
      <c r="E66" s="445"/>
      <c r="F66" s="835" t="s">
        <v>184</v>
      </c>
      <c r="G66" s="835"/>
      <c r="H66" s="445">
        <v>0</v>
      </c>
      <c r="I66" s="288" t="s">
        <v>211</v>
      </c>
      <c r="L66" s="829"/>
      <c r="M66" s="829"/>
      <c r="N66" s="446" t="str">
        <f>Tabelle1!J104</f>
      </c>
    </row>
    <row r="67" spans="1:15" x14ac:dyDescent="0.25">
      <c r="A67" s="444" t="s">
        <v>292</v>
      </c>
      <c r="B67" s="831" t="inlineStr">
        <is>
          <t>ohne</t>
        </is>
      </c>
      <c r="C67" s="831"/>
      <c r="D67" s="288" t="s">
        <v>14</v>
      </c>
      <c r="E67" s="447">
        <f>IF(B67=N67,O67,IF(B67=N68,O68,IF(B67=N70,O70)))</f>
      </c>
      <c r="F67" s="288" t="s">
        <v>16</v>
      </c>
      <c r="G67" s="448">
        <v>0</v>
      </c>
      <c r="H67" s="293" t="s">
        <v>141</v>
      </c>
      <c r="I67" s="449">
        <f>ROUND(E67-E67*G67,2)</f>
      </c>
      <c r="L67" s="829"/>
      <c r="M67" s="829"/>
      <c r="N67" s="450" t="s">
        <v>291</v>
      </c>
      <c r="O67" s="116">
        <v>175</v>
      </c>
    </row>
    <row r="68" spans="1:15" ht="15.75" thickBot="1" x14ac:dyDescent="0.3">
      <c r="A68" s="288"/>
      <c r="B68" s="288"/>
      <c r="C68" s="288"/>
      <c r="D68" s="451">
        <f>I67</f>
      </c>
      <c r="E68" s="288" t="s">
        <v>16</v>
      </c>
      <c r="F68" s="288"/>
      <c r="G68" s="288">
        <v>100</v>
      </c>
      <c r="H68" s="288" t="s">
        <v>342</v>
      </c>
      <c r="I68" s="449">
        <f>ROUND(D68-D68*G68%,2)</f>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c>
      <c r="D70" s="288"/>
      <c r="E70" s="288">
        <f>$H$7/100</f>
      </c>
      <c r="F70" s="453" t="s">
        <v>13</v>
      </c>
      <c r="G70" s="288"/>
      <c r="H70" s="454" t="s">
        <v>9</v>
      </c>
      <c r="I70" s="449">
        <f>ROUND(C70*E70,2)</f>
      </c>
      <c r="J70" s="455"/>
      <c r="L70" s="829"/>
      <c r="M70" s="829"/>
      <c r="N70" s="456" t="s">
        <v>302</v>
      </c>
    </row>
    <row r="71" spans="1:15" x14ac:dyDescent="0.25">
      <c r="A71" s="288" t="s">
        <v>442</v>
      </c>
      <c r="B71" s="288"/>
      <c r="C71" s="288"/>
      <c r="D71" s="288"/>
      <c r="E71" s="288"/>
      <c r="F71" s="445">
        <v>0</v>
      </c>
      <c r="G71" s="288" t="s">
        <v>17</v>
      </c>
      <c r="H71" s="451">
        <f>I70</f>
      </c>
      <c r="I71" s="457" t="s">
        <v>9</v>
      </c>
      <c r="K71" s="458">
        <f>ROUND(F71*H71,2)</f>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c>
      <c r="D75" s="836" t="s">
        <v>303</v>
      </c>
      <c r="E75" s="836"/>
      <c r="F75" s="845">
        <f>ROUND(F74-F74*C75/100,2)</f>
      </c>
      <c r="G75" s="845"/>
      <c r="H75" s="407" t="s">
        <v>49</v>
      </c>
      <c r="I75" s="461"/>
      <c r="J75" s="372" t="s">
        <v>26</v>
      </c>
      <c r="K75" s="458">
        <f>IF(E76 ="fehlt",0,ROUND(F75*I75,2))</f>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c>
      <c r="F79" s="372" t="s">
        <v>181</v>
      </c>
      <c r="H79" s="565">
        <f>G78/100*3</f>
      </c>
      <c r="I79" s="372" t="s">
        <v>182</v>
      </c>
      <c r="J79" s="399" t="s">
        <v>9</v>
      </c>
      <c r="K79" s="458">
        <f>IF(C79&gt;74,ROUND(E79-E79*H79,2),0)</f>
      </c>
      <c r="N79" s="464" t="s">
        <v>339</v>
      </c>
    </row>
    <row r="80" spans="1:15" ht="15.75" thickBot="1" x14ac:dyDescent="0.3">
      <c r="A80"/>
      <c r="B80"/>
      <c r="C80"/>
      <c r="D80"/>
      <c r="E80"/>
      <c r="F80"/>
      <c r="G80"/>
      <c r="H80"/>
      <c r="I80"/>
      <c r="J80"/>
      <c r="K80" s="459"/>
      <c r="N80" s="465">
        <f>SUM(K61:K77)</f>
      </c>
    </row>
    <row r="81" spans="1:11" ht="16.5" thickTop="1" thickBot="1" x14ac:dyDescent="0.3">
      <c r="A81" s="846" t="s">
        <v>33</v>
      </c>
      <c r="B81" s="846"/>
      <c r="C81" s="846"/>
      <c r="D81" s="846"/>
      <c r="E81" s="846"/>
      <c r="F81" s="846"/>
      <c r="G81" s="846"/>
      <c r="H81" s="846"/>
      <c r="I81" s="846"/>
      <c r="J81" s="847"/>
      <c r="K81" s="466">
        <f>K61+K71+K75+K77+K79</f>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c r="G104" s="613"/>
      <c r="H104" s="612">
        <f>SUM(F104*G104)</f>
      </c>
      <c r="J104" s="594"/>
      <c r="M104" s="820" t="s">
        <v>304</v>
      </c>
      <c r="N104" s="821"/>
      <c r="O104" s="822"/>
    </row>
    <row r="105" spans="1:15" ht="19.899999999999999" customHeight="1" thickBot="1" x14ac:dyDescent="0.3">
      <c r="A105" s="375" t="s">
        <v>609</v>
      </c>
      <c r="B105" s="790" t="s">
        <v>634</v>
      </c>
      <c r="C105" s="790"/>
      <c r="D105" s="790"/>
      <c r="E105" s="790"/>
      <c r="F105" s="704"/>
      <c r="G105" s="705"/>
      <c r="H105" s="706"/>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c>
      <c r="D108" s="841"/>
      <c r="E108" s="372" t="s">
        <v>121</v>
      </c>
      <c r="F108" s="851">
        <f>Formalien!$E$12</f>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c>
      <c r="F1" s="914"/>
    </row>
    <row r="2" spans="1:8" ht="15.75" thickBot="1" x14ac:dyDescent="0.3">
      <c r="A2" s="555" t="s">
        <v>176</v>
      </c>
      <c r="B2" s="80"/>
      <c r="C2" s="80"/>
      <c r="D2" s="80"/>
      <c r="E2" s="917">
        <f>Formalien!$E$5</f>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row>
    <row r="45" spans="1:7" ht="15.75" thickBot="1" x14ac:dyDescent="0.3">
      <c r="A45" s="879" t="s">
        <v>353</v>
      </c>
      <c r="B45" s="879"/>
      <c r="C45" s="879"/>
      <c r="D45" s="879"/>
      <c r="F45" s="556"/>
    </row>
    <row r="46" spans="1:7" ht="15.75" thickBot="1" x14ac:dyDescent="0.3">
      <c r="A46" s="168"/>
      <c r="B46" s="168"/>
      <c r="C46" s="168"/>
      <c r="E46" s="79" t="s">
        <v>288</v>
      </c>
      <c r="F46" s="588">
        <f>SUM(F2:F45)</f>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617">
        <f>(E3-24)/100*6</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c>
      <c r="T18" s="472"/>
      <c r="U18" s="472"/>
      <c r="V18" s="472"/>
    </row>
    <row r="19" spans="1:22" s="367" customFormat="1" ht="18" customHeight="1" x14ac:dyDescent="0.25">
      <c r="A19" s="582"/>
      <c r="B19" s="575"/>
      <c r="C19" s="920"/>
      <c r="D19" s="920"/>
      <c r="E19" s="920"/>
      <c r="F19" s="920"/>
      <c r="G19" s="920"/>
      <c r="H19" s="920"/>
      <c r="I19" s="920"/>
      <c r="J19" s="920"/>
      <c r="K19" s="669"/>
      <c r="L19" s="670">
        <f t="shared" si="0"/>
      </c>
    </row>
    <row r="20" spans="1:22" s="367" customFormat="1" ht="18" customHeight="1" x14ac:dyDescent="0.25">
      <c r="A20" s="582"/>
      <c r="B20" s="575"/>
      <c r="C20" s="920"/>
      <c r="D20" s="920"/>
      <c r="E20" s="920"/>
      <c r="F20" s="920"/>
      <c r="G20" s="920"/>
      <c r="H20" s="920"/>
      <c r="I20" s="920"/>
      <c r="J20" s="920"/>
      <c r="K20" s="669"/>
      <c r="L20" s="670">
        <f t="shared" si="0"/>
      </c>
    </row>
    <row r="21" spans="1:22" s="367" customFormat="1" ht="18" customHeight="1" x14ac:dyDescent="0.25">
      <c r="A21" s="582"/>
      <c r="B21" s="575"/>
      <c r="C21" s="920"/>
      <c r="D21" s="920"/>
      <c r="E21" s="920"/>
      <c r="F21" s="920"/>
      <c r="G21" s="920"/>
      <c r="H21" s="920"/>
      <c r="I21" s="920"/>
      <c r="J21" s="920"/>
      <c r="K21" s="669"/>
      <c r="L21" s="670">
        <f t="shared" si="0"/>
      </c>
    </row>
    <row r="22" spans="1:22" s="367" customFormat="1" ht="18" customHeight="1" x14ac:dyDescent="0.25">
      <c r="A22" s="582"/>
      <c r="B22" s="575"/>
      <c r="C22" s="920"/>
      <c r="D22" s="920"/>
      <c r="E22" s="920"/>
      <c r="F22" s="920"/>
      <c r="G22" s="920"/>
      <c r="H22" s="920"/>
      <c r="I22" s="920"/>
      <c r="J22" s="920"/>
      <c r="K22" s="669"/>
      <c r="L22" s="670">
        <f t="shared" si="0"/>
      </c>
    </row>
    <row r="23" spans="1:22" s="473" customFormat="1" ht="18" customHeight="1" x14ac:dyDescent="0.25">
      <c r="A23" s="582"/>
      <c r="B23" s="574"/>
      <c r="C23" s="920"/>
      <c r="D23" s="920"/>
      <c r="E23" s="920"/>
      <c r="F23" s="920"/>
      <c r="G23" s="920"/>
      <c r="H23" s="920"/>
      <c r="I23" s="920"/>
      <c r="J23" s="920"/>
      <c r="K23" s="669"/>
      <c r="L23" s="670">
        <f t="shared" si="0"/>
      </c>
      <c r="O23" s="367"/>
    </row>
    <row r="24" spans="1:22" ht="18" customHeight="1" x14ac:dyDescent="0.25">
      <c r="A24" s="582"/>
      <c r="B24" s="574"/>
      <c r="C24" s="920"/>
      <c r="D24" s="920"/>
      <c r="E24" s="920"/>
      <c r="F24" s="920"/>
      <c r="G24" s="920"/>
      <c r="H24" s="920"/>
      <c r="I24" s="920"/>
      <c r="J24" s="920"/>
      <c r="K24" s="669"/>
      <c r="L24" s="670">
        <f t="shared" si="0"/>
      </c>
      <c r="O24" s="367"/>
    </row>
    <row r="25" spans="1:22" s="367" customFormat="1" ht="18" customHeight="1" x14ac:dyDescent="0.25">
      <c r="A25" s="582"/>
      <c r="B25" s="574"/>
      <c r="C25" s="920"/>
      <c r="D25" s="920"/>
      <c r="E25" s="920"/>
      <c r="F25" s="920"/>
      <c r="G25" s="920"/>
      <c r="H25" s="920"/>
      <c r="I25" s="920"/>
      <c r="J25" s="920"/>
      <c r="K25" s="669"/>
      <c r="L25" s="670">
        <f t="shared" si="0"/>
      </c>
    </row>
    <row r="26" spans="1:22" s="367" customFormat="1" ht="18" customHeight="1" x14ac:dyDescent="0.25">
      <c r="A26" s="582"/>
      <c r="B26" s="574"/>
      <c r="C26" s="920"/>
      <c r="D26" s="920"/>
      <c r="E26" s="920"/>
      <c r="F26" s="920"/>
      <c r="G26" s="920"/>
      <c r="H26" s="920"/>
      <c r="I26" s="920"/>
      <c r="J26" s="920"/>
      <c r="K26" s="669"/>
      <c r="L26" s="670">
        <f t="shared" si="0"/>
      </c>
    </row>
    <row r="27" spans="1:22" s="367" customFormat="1" ht="18" customHeight="1" x14ac:dyDescent="0.25">
      <c r="A27" s="582"/>
      <c r="B27" s="574"/>
      <c r="C27" s="920"/>
      <c r="D27" s="920"/>
      <c r="E27" s="920"/>
      <c r="F27" s="920"/>
      <c r="G27" s="920"/>
      <c r="H27" s="920"/>
      <c r="I27" s="920"/>
      <c r="J27" s="920"/>
      <c r="K27" s="669"/>
      <c r="L27" s="670">
        <f t="shared" si="0"/>
      </c>
    </row>
    <row r="28" spans="1:22" s="367" customFormat="1" ht="18" customHeight="1" x14ac:dyDescent="0.25">
      <c r="A28" s="582"/>
      <c r="B28" s="574"/>
      <c r="C28" s="920"/>
      <c r="D28" s="920"/>
      <c r="E28" s="920"/>
      <c r="F28" s="920"/>
      <c r="G28" s="920"/>
      <c r="H28" s="920"/>
      <c r="I28" s="920"/>
      <c r="J28" s="920"/>
      <c r="K28" s="669"/>
      <c r="L28" s="670">
        <f t="shared" si="0"/>
      </c>
    </row>
    <row r="29" spans="1:22" s="475" customFormat="1" ht="18" customHeight="1" x14ac:dyDescent="0.25">
      <c r="A29" s="582"/>
      <c r="B29" s="574"/>
      <c r="C29" s="920"/>
      <c r="D29" s="920"/>
      <c r="E29" s="920"/>
      <c r="F29" s="920"/>
      <c r="G29" s="920"/>
      <c r="H29" s="920"/>
      <c r="I29" s="920"/>
      <c r="J29" s="920"/>
      <c r="K29" s="669"/>
      <c r="L29" s="670">
        <f t="shared" si="0"/>
      </c>
      <c r="O29" s="367"/>
    </row>
    <row r="30" spans="1:22" s="367" customFormat="1" ht="18" customHeight="1" x14ac:dyDescent="0.25">
      <c r="A30" s="582"/>
      <c r="B30" s="574"/>
      <c r="C30" s="920"/>
      <c r="D30" s="920"/>
      <c r="E30" s="920"/>
      <c r="F30" s="920"/>
      <c r="G30" s="920"/>
      <c r="H30" s="920"/>
      <c r="I30" s="920"/>
      <c r="J30" s="920"/>
      <c r="K30" s="669"/>
      <c r="L30" s="670">
        <f t="shared" si="0"/>
      </c>
    </row>
    <row r="31" spans="1:22" s="367" customFormat="1" ht="18" customHeight="1" x14ac:dyDescent="0.25">
      <c r="A31" s="582"/>
      <c r="B31" s="574"/>
      <c r="C31" s="920"/>
      <c r="D31" s="920"/>
      <c r="E31" s="920"/>
      <c r="F31" s="920"/>
      <c r="G31" s="920"/>
      <c r="H31" s="920"/>
      <c r="I31" s="920"/>
      <c r="J31" s="920"/>
      <c r="K31" s="669"/>
      <c r="L31" s="670">
        <f t="shared" si="0"/>
      </c>
    </row>
    <row r="32" spans="1:22" ht="18" customHeight="1" x14ac:dyDescent="0.25">
      <c r="A32" s="582"/>
      <c r="B32" s="574"/>
      <c r="C32" s="920"/>
      <c r="D32" s="920"/>
      <c r="E32" s="920"/>
      <c r="F32" s="920"/>
      <c r="G32" s="920"/>
      <c r="H32" s="920"/>
      <c r="I32" s="920"/>
      <c r="J32" s="920"/>
      <c r="K32" s="669"/>
      <c r="L32" s="670">
        <f t="shared" si="0"/>
      </c>
      <c r="O32" s="367"/>
    </row>
    <row r="33" spans="1:12" s="367" customFormat="1" ht="18" customHeight="1" x14ac:dyDescent="0.25">
      <c r="A33" s="582"/>
      <c r="B33" s="575"/>
      <c r="C33" s="920"/>
      <c r="D33" s="920"/>
      <c r="E33" s="920"/>
      <c r="F33" s="920"/>
      <c r="G33" s="920"/>
      <c r="H33" s="920"/>
      <c r="I33" s="920"/>
      <c r="J33" s="920"/>
      <c r="K33" s="669"/>
      <c r="L33" s="670">
        <f t="shared" si="0"/>
      </c>
    </row>
    <row r="34" spans="1:12" s="367" customFormat="1" ht="18" customHeight="1" x14ac:dyDescent="0.25">
      <c r="A34" s="582"/>
      <c r="B34" s="575"/>
      <c r="C34" s="920"/>
      <c r="D34" s="920"/>
      <c r="E34" s="920"/>
      <c r="F34" s="920"/>
      <c r="G34" s="920"/>
      <c r="H34" s="920"/>
      <c r="I34" s="920"/>
      <c r="J34" s="920"/>
      <c r="K34" s="669"/>
      <c r="L34" s="670">
        <f t="shared" si="0"/>
      </c>
    </row>
    <row r="35" spans="1:12" s="367" customFormat="1" ht="18" customHeight="1" x14ac:dyDescent="0.25">
      <c r="A35" s="582"/>
      <c r="B35" s="575"/>
      <c r="C35" s="920"/>
      <c r="D35" s="920"/>
      <c r="E35" s="920"/>
      <c r="F35" s="920"/>
      <c r="G35" s="920"/>
      <c r="H35" s="920"/>
      <c r="I35" s="920"/>
      <c r="J35" s="920"/>
      <c r="K35" s="669"/>
      <c r="L35" s="670">
        <f t="shared" si="0"/>
      </c>
    </row>
    <row r="36" spans="1:12" s="367" customFormat="1" ht="18" customHeight="1" x14ac:dyDescent="0.25">
      <c r="A36" s="582"/>
      <c r="B36" s="575"/>
      <c r="C36" s="920"/>
      <c r="D36" s="920"/>
      <c r="E36" s="920"/>
      <c r="F36" s="920"/>
      <c r="G36" s="920"/>
      <c r="H36" s="920"/>
      <c r="I36" s="920"/>
      <c r="J36" s="920"/>
      <c r="K36" s="669"/>
      <c r="L36" s="670">
        <f t="shared" si="0"/>
      </c>
    </row>
    <row r="37" spans="1:12" s="367" customFormat="1" ht="18" customHeight="1" x14ac:dyDescent="0.25">
      <c r="A37" s="582"/>
      <c r="B37" s="575"/>
      <c r="C37" s="920"/>
      <c r="D37" s="920"/>
      <c r="E37" s="920"/>
      <c r="F37" s="920"/>
      <c r="G37" s="920"/>
      <c r="H37" s="920"/>
      <c r="I37" s="920"/>
      <c r="J37" s="920"/>
      <c r="K37" s="669"/>
      <c r="L37" s="670">
        <f t="shared" si="0"/>
      </c>
    </row>
    <row r="38" spans="1:12" s="367" customFormat="1" ht="18" customHeight="1" x14ac:dyDescent="0.25">
      <c r="A38" s="582"/>
      <c r="B38" s="575"/>
      <c r="C38" s="920"/>
      <c r="D38" s="920"/>
      <c r="E38" s="920"/>
      <c r="F38" s="920"/>
      <c r="G38" s="920"/>
      <c r="H38" s="920"/>
      <c r="I38" s="920"/>
      <c r="J38" s="920"/>
      <c r="K38" s="669"/>
      <c r="L38" s="670">
        <f t="shared" si="0"/>
      </c>
    </row>
    <row r="39" spans="1:12" s="367" customFormat="1" ht="18" customHeight="1" x14ac:dyDescent="0.25">
      <c r="A39" s="582"/>
      <c r="B39" s="575"/>
      <c r="C39" s="920"/>
      <c r="D39" s="920"/>
      <c r="E39" s="920"/>
      <c r="F39" s="920"/>
      <c r="G39" s="920"/>
      <c r="H39" s="920"/>
      <c r="I39" s="920"/>
      <c r="J39" s="920"/>
      <c r="K39" s="669"/>
      <c r="L39" s="670">
        <f t="shared" si="0"/>
      </c>
    </row>
    <row r="40" spans="1:12" s="367" customFormat="1" ht="18" customHeight="1" x14ac:dyDescent="0.25">
      <c r="A40" s="582"/>
      <c r="B40" s="575"/>
      <c r="C40" s="924"/>
      <c r="D40" s="925"/>
      <c r="E40" s="925"/>
      <c r="F40" s="925"/>
      <c r="G40" s="925"/>
      <c r="H40" s="925"/>
      <c r="I40" s="925"/>
      <c r="J40" s="926"/>
      <c r="K40" s="669"/>
      <c r="L40" s="670">
        <f t="shared" si="0"/>
      </c>
    </row>
    <row r="41" spans="1:12" s="367" customFormat="1" ht="18" customHeight="1" x14ac:dyDescent="0.25">
      <c r="A41" s="582"/>
      <c r="B41" s="575"/>
      <c r="C41" s="924"/>
      <c r="D41" s="925"/>
      <c r="E41" s="925"/>
      <c r="F41" s="925"/>
      <c r="G41" s="925"/>
      <c r="H41" s="925"/>
      <c r="I41" s="925"/>
      <c r="J41" s="926"/>
      <c r="K41" s="669"/>
      <c r="L41" s="670">
        <f t="shared" si="0"/>
      </c>
    </row>
    <row r="42" spans="1:12" s="367" customFormat="1" ht="18" customHeight="1" x14ac:dyDescent="0.25">
      <c r="A42" s="582"/>
      <c r="B42" s="575"/>
      <c r="C42" s="924"/>
      <c r="D42" s="925"/>
      <c r="E42" s="925"/>
      <c r="F42" s="925"/>
      <c r="G42" s="925"/>
      <c r="H42" s="925"/>
      <c r="I42" s="925"/>
      <c r="J42" s="926"/>
      <c r="K42" s="669"/>
      <c r="L42" s="670">
        <f t="shared" si="0"/>
      </c>
    </row>
    <row r="43" spans="1:12" s="367" customFormat="1" ht="18" customHeight="1" x14ac:dyDescent="0.25">
      <c r="A43" s="582"/>
      <c r="B43" s="575"/>
      <c r="C43" s="924"/>
      <c r="D43" s="925"/>
      <c r="E43" s="925"/>
      <c r="F43" s="925"/>
      <c r="G43" s="925"/>
      <c r="H43" s="925"/>
      <c r="I43" s="925"/>
      <c r="J43" s="926"/>
      <c r="K43" s="669"/>
      <c r="L43" s="670">
        <f t="shared" si="0"/>
      </c>
    </row>
    <row r="44" spans="1:12" s="367" customFormat="1" ht="18" customHeight="1" x14ac:dyDescent="0.25">
      <c r="A44" s="582"/>
      <c r="B44" s="575"/>
      <c r="C44" s="920"/>
      <c r="D44" s="920"/>
      <c r="E44" s="920"/>
      <c r="F44" s="920"/>
      <c r="G44" s="920"/>
      <c r="H44" s="920"/>
      <c r="I44" s="920"/>
      <c r="J44" s="920"/>
      <c r="K44" s="669"/>
      <c r="L44" s="670">
        <f t="shared" ref="L44" si="1">ROUND(A44*K44,2)</f>
      </c>
    </row>
    <row r="45" spans="1:12" s="367" customFormat="1" ht="18" customHeight="1" thickBot="1" x14ac:dyDescent="0.3">
      <c r="A45" s="583"/>
      <c r="B45" s="576"/>
      <c r="C45" s="956"/>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c>
    </row>
    <row r="19" spans="1:12" ht="18" customHeight="1" x14ac:dyDescent="0.2">
      <c r="A19" s="584"/>
      <c r="B19" s="577"/>
      <c r="C19" s="960"/>
      <c r="D19" s="960"/>
      <c r="E19" s="960"/>
      <c r="F19" s="960"/>
      <c r="G19" s="960"/>
      <c r="H19" s="960"/>
      <c r="I19" s="961"/>
      <c r="J19" s="961"/>
      <c r="K19" s="675"/>
      <c r="L19" s="666">
        <f t="shared" si="0"/>
      </c>
    </row>
    <row r="20" spans="1:12" ht="18" customHeight="1" x14ac:dyDescent="0.2">
      <c r="A20" s="584"/>
      <c r="B20" s="577"/>
      <c r="C20" s="960"/>
      <c r="D20" s="960"/>
      <c r="E20" s="960"/>
      <c r="F20" s="960"/>
      <c r="G20" s="960"/>
      <c r="H20" s="960"/>
      <c r="I20" s="961"/>
      <c r="J20" s="961"/>
      <c r="K20" s="675"/>
      <c r="L20" s="666">
        <f t="shared" si="0"/>
      </c>
    </row>
    <row r="21" spans="1:12" ht="18" customHeight="1" x14ac:dyDescent="0.2">
      <c r="A21" s="584"/>
      <c r="B21" s="577"/>
      <c r="C21" s="960"/>
      <c r="D21" s="960"/>
      <c r="E21" s="960"/>
      <c r="F21" s="960"/>
      <c r="G21" s="960"/>
      <c r="H21" s="960"/>
      <c r="I21" s="961"/>
      <c r="J21" s="961"/>
      <c r="K21" s="675"/>
      <c r="L21" s="666">
        <f t="shared" si="0"/>
      </c>
    </row>
    <row r="22" spans="1:12" ht="18" customHeight="1" x14ac:dyDescent="0.2">
      <c r="A22" s="584"/>
      <c r="B22" s="577"/>
      <c r="C22" s="960"/>
      <c r="D22" s="960"/>
      <c r="E22" s="960"/>
      <c r="F22" s="960"/>
      <c r="G22" s="960"/>
      <c r="H22" s="960"/>
      <c r="I22" s="961"/>
      <c r="J22" s="961"/>
      <c r="K22" s="675"/>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t="str">
        <f>'Deckbl UPV '!F21</f>
      </c>
      <c r="F16" s="45"/>
      <c r="G16" s="14"/>
      <c r="H16" s="42"/>
    </row>
    <row r="17" spans="1:8" x14ac:dyDescent="0.2">
      <c r="A17" s="1014">
        <f>'Deckbl UPV '!A22</f>
      </c>
      <c r="B17" s="1014"/>
      <c r="C17" s="1014"/>
      <c r="D17" s="55">
        <f>'Deckbl UPV '!E22</f>
      </c>
      <c r="E17" s="14"/>
      <c r="G17" s="14"/>
      <c r="H17" s="42"/>
    </row>
    <row r="18" spans="1:8" x14ac:dyDescent="0.2">
      <c r="A18" s="1014" t="e">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t="str">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t="e">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t="e">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t="e">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c r="C12" s="1255"/>
      <c r="D12" s="1255"/>
      <c r="E12" s="1256"/>
      <c r="F12" s="707"/>
      <c r="G12" s="707"/>
      <c r="H12" s="1257"/>
      <c r="I12" s="1258"/>
      <c r="J12" s="721">
        <v>1</v>
      </c>
      <c r="K12" s="722">
        <f>(F12*H12*J12)</f>
      </c>
      <c r="M12" s="661" t="s">
        <v>587</v>
      </c>
    </row>
    <row r="13" spans="1:13" ht="16.899999999999999" customHeight="1" thickBot="1" x14ac:dyDescent="0.3">
      <c r="A13" s="720"/>
      <c r="B13" s="708"/>
      <c r="C13" s="709"/>
      <c r="D13" s="710"/>
      <c r="E13" s="711"/>
      <c r="F13" s="712"/>
      <c r="G13" s="712"/>
      <c r="H13" s="1259"/>
      <c r="I13" s="1260"/>
      <c r="J13" s="723">
        <v>1</v>
      </c>
      <c r="K13" s="724">
        <f t="shared" ref="K13:K23" si="0">(F13*H13*J13)</f>
      </c>
      <c r="M13" s="662" t="s">
        <v>584</v>
      </c>
    </row>
    <row r="14" spans="1:13" ht="16.899999999999999" customHeight="1" x14ac:dyDescent="0.25">
      <c r="A14" s="649" t="s">
        <v>81</v>
      </c>
      <c r="B14" s="1261"/>
      <c r="C14" s="1262"/>
      <c r="D14" s="1262"/>
      <c r="E14" s="1263"/>
      <c r="F14" s="713"/>
      <c r="G14" s="713"/>
      <c r="H14" s="1264"/>
      <c r="I14" s="1265"/>
      <c r="J14" s="725">
        <v>1</v>
      </c>
      <c r="K14" s="726">
        <f t="shared" si="0"/>
      </c>
      <c r="M14" s="662" t="s">
        <v>585</v>
      </c>
    </row>
    <row r="15" spans="1:13" ht="16.899999999999999" customHeight="1" x14ac:dyDescent="0.25">
      <c r="A15" s="649" t="s">
        <v>90</v>
      </c>
      <c r="B15" s="1238"/>
      <c r="C15" s="1239"/>
      <c r="D15" s="1239"/>
      <c r="E15" s="1240"/>
      <c r="F15" s="649"/>
      <c r="G15" s="649"/>
      <c r="H15" s="1243"/>
      <c r="I15" s="1244"/>
      <c r="J15" s="727">
        <v>1</v>
      </c>
      <c r="K15" s="728">
        <f t="shared" si="0"/>
      </c>
      <c r="M15" s="662" t="s">
        <v>589</v>
      </c>
    </row>
    <row r="16" spans="1:13" ht="16.899999999999999" customHeight="1" x14ac:dyDescent="0.25">
      <c r="A16" s="649" t="s">
        <v>93</v>
      </c>
      <c r="B16" s="1238"/>
      <c r="C16" s="1239"/>
      <c r="D16" s="1239"/>
      <c r="E16" s="1240"/>
      <c r="F16" s="649"/>
      <c r="G16" s="649"/>
      <c r="H16" s="1243"/>
      <c r="I16" s="1244"/>
      <c r="J16" s="727">
        <v>1</v>
      </c>
      <c r="K16" s="728">
        <f t="shared" si="0"/>
      </c>
      <c r="M16" s="664" t="s">
        <v>593</v>
      </c>
    </row>
    <row r="17" spans="1:15" ht="16.899999999999999" customHeight="1" x14ac:dyDescent="0.25">
      <c r="A17" s="649" t="s">
        <v>98</v>
      </c>
      <c r="B17" s="1238"/>
      <c r="C17" s="1239"/>
      <c r="D17" s="1239"/>
      <c r="E17" s="1240"/>
      <c r="F17" s="649"/>
      <c r="G17" s="649"/>
      <c r="H17" s="1243"/>
      <c r="I17" s="1244"/>
      <c r="J17" s="727">
        <v>1</v>
      </c>
      <c r="K17" s="728">
        <f t="shared" si="0"/>
      </c>
      <c r="M17" s="702" t="s">
        <v>604</v>
      </c>
    </row>
    <row r="18" spans="1:15" ht="16.899999999999999" customHeight="1" x14ac:dyDescent="0.25">
      <c r="A18" s="649" t="s">
        <v>101</v>
      </c>
      <c r="B18" s="1238"/>
      <c r="C18" s="1239"/>
      <c r="D18" s="1239"/>
      <c r="E18" s="1240"/>
      <c r="F18" s="649"/>
      <c r="G18" s="649"/>
      <c r="H18" s="1243"/>
      <c r="I18" s="1244"/>
      <c r="J18" s="727">
        <v>1</v>
      </c>
      <c r="K18" s="728">
        <f t="shared" si="0"/>
      </c>
      <c r="M18" s="702" t="s">
        <v>605</v>
      </c>
    </row>
    <row r="19" spans="1:15" ht="16.899999999999999" customHeight="1" x14ac:dyDescent="0.25">
      <c r="A19" s="649" t="s">
        <v>609</v>
      </c>
      <c r="B19" s="699"/>
      <c r="C19" s="700"/>
      <c r="D19" s="700"/>
      <c r="E19" s="701"/>
      <c r="F19" s="649"/>
      <c r="G19" s="649"/>
      <c r="H19" s="1245"/>
      <c r="I19" s="1246"/>
      <c r="J19" s="727">
        <v>1</v>
      </c>
      <c r="K19" s="728">
        <f t="shared" si="0"/>
      </c>
      <c r="M19" s="702"/>
    </row>
    <row r="20" spans="1:15" ht="16.899999999999999" customHeight="1" x14ac:dyDescent="0.25">
      <c r="A20" s="649" t="s">
        <v>610</v>
      </c>
      <c r="B20" s="1238"/>
      <c r="C20" s="1239"/>
      <c r="D20" s="1239"/>
      <c r="E20" s="1240"/>
      <c r="F20" s="649"/>
      <c r="G20" s="649"/>
      <c r="H20" s="1243"/>
      <c r="I20" s="1244"/>
      <c r="J20" s="727">
        <v>1</v>
      </c>
      <c r="K20" s="728">
        <f t="shared" si="0"/>
      </c>
      <c r="M20" s="702" t="s">
        <v>606</v>
      </c>
    </row>
    <row r="21" spans="1:15" ht="16.899999999999999" customHeight="1" x14ac:dyDescent="0.25">
      <c r="A21" s="649" t="s">
        <v>103</v>
      </c>
      <c r="B21" s="1238"/>
      <c r="C21" s="1239"/>
      <c r="D21" s="1239"/>
      <c r="E21" s="1240"/>
      <c r="F21" s="649"/>
      <c r="G21" s="649"/>
      <c r="H21" s="1245"/>
      <c r="I21" s="1246"/>
      <c r="J21" s="727">
        <v>1</v>
      </c>
      <c r="K21" s="728">
        <f t="shared" si="0"/>
      </c>
      <c r="M21" s="702" t="s">
        <v>590</v>
      </c>
    </row>
    <row r="22" spans="1:15" ht="16.899999999999999" customHeight="1" x14ac:dyDescent="0.25">
      <c r="A22" s="649" t="s">
        <v>105</v>
      </c>
      <c r="B22" s="1238"/>
      <c r="C22" s="1239"/>
      <c r="D22" s="1239"/>
      <c r="E22" s="1240"/>
      <c r="F22" s="729"/>
      <c r="G22" s="649"/>
      <c r="H22" s="1243"/>
      <c r="I22" s="1244"/>
      <c r="J22" s="727">
        <v>1</v>
      </c>
      <c r="K22" s="728">
        <f t="shared" si="0"/>
      </c>
      <c r="M22" s="662" t="s">
        <v>586</v>
      </c>
    </row>
    <row r="23" spans="1:15" ht="16.899999999999999" customHeight="1" thickBot="1" x14ac:dyDescent="0.3">
      <c r="A23" s="649" t="s">
        <v>109</v>
      </c>
      <c r="B23" s="730"/>
      <c r="C23" s="700"/>
      <c r="D23" s="700"/>
      <c r="E23" s="731"/>
      <c r="F23" s="649"/>
      <c r="G23" s="732"/>
      <c r="H23" s="1243"/>
      <c r="I23" s="1244"/>
      <c r="J23" s="727">
        <v>1</v>
      </c>
      <c r="K23" s="724">
        <f t="shared" si="0"/>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c r="G34" s="713"/>
      <c r="H34" s="1214"/>
      <c r="I34" s="1215"/>
      <c r="J34" s="725">
        <v>1</v>
      </c>
      <c r="K34" s="741">
        <f>(F34*H34*J34)</f>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c>
      <c r="M35" s="664" t="s">
        <v>601</v>
      </c>
    </row>
    <row r="36" spans="1:14" ht="16.899999999999999" customHeight="1" x14ac:dyDescent="0.25">
      <c r="A36" s="742" t="s">
        <v>90</v>
      </c>
      <c r="B36" s="1196"/>
      <c r="C36" s="1197"/>
      <c r="D36" s="1197"/>
      <c r="E36" s="1198"/>
      <c r="F36" s="729"/>
      <c r="G36" s="649"/>
      <c r="H36" s="1199"/>
      <c r="I36" s="1200"/>
      <c r="J36" s="727">
        <v>1</v>
      </c>
      <c r="K36" s="743">
        <f t="shared" si="1"/>
      </c>
      <c r="M36" s="665" t="s">
        <v>607</v>
      </c>
    </row>
    <row r="37" spans="1:14" ht="16.899999999999999" customHeight="1" x14ac:dyDescent="0.25">
      <c r="A37" s="742" t="s">
        <v>93</v>
      </c>
      <c r="B37" s="1196"/>
      <c r="C37" s="1197"/>
      <c r="D37" s="1197"/>
      <c r="E37" s="1198"/>
      <c r="F37" s="729"/>
      <c r="G37" s="649"/>
      <c r="H37" s="1199"/>
      <c r="I37" s="1200"/>
      <c r="J37" s="727">
        <v>1</v>
      </c>
      <c r="K37" s="743">
        <f t="shared" si="1"/>
      </c>
      <c r="L37" s="623"/>
      <c r="M37" s="664" t="s">
        <v>602</v>
      </c>
    </row>
    <row r="38" spans="1:14" ht="16.899999999999999" customHeight="1" x14ac:dyDescent="0.25">
      <c r="A38" s="742" t="s">
        <v>98</v>
      </c>
      <c r="B38" s="1196"/>
      <c r="C38" s="1197"/>
      <c r="D38" s="1197"/>
      <c r="E38" s="1198"/>
      <c r="F38" s="729"/>
      <c r="G38" s="649"/>
      <c r="H38" s="1199"/>
      <c r="I38" s="1200"/>
      <c r="J38" s="727">
        <v>1</v>
      </c>
      <c r="K38" s="743">
        <f t="shared" si="1"/>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c>
      <c r="M39" s="664" t="s">
        <v>594</v>
      </c>
    </row>
    <row r="40" spans="1:14" ht="16.899999999999999" customHeight="1" x14ac:dyDescent="0.25">
      <c r="A40" s="742" t="s">
        <v>609</v>
      </c>
      <c r="B40" s="1196"/>
      <c r="C40" s="1197"/>
      <c r="D40" s="1197"/>
      <c r="E40" s="1198"/>
      <c r="F40" s="729"/>
      <c r="G40" s="649"/>
      <c r="H40" s="1199"/>
      <c r="I40" s="1200"/>
      <c r="J40" s="727">
        <v>1</v>
      </c>
      <c r="K40" s="743">
        <f t="shared" si="1"/>
      </c>
      <c r="M40" s="664" t="s">
        <v>600</v>
      </c>
    </row>
    <row r="41" spans="1:14" ht="16.899999999999999" customHeight="1" x14ac:dyDescent="0.25">
      <c r="A41" s="742" t="s">
        <v>610</v>
      </c>
      <c r="B41" s="1196"/>
      <c r="C41" s="1197"/>
      <c r="D41" s="1197"/>
      <c r="E41" s="1198"/>
      <c r="F41" s="729"/>
      <c r="G41" s="649"/>
      <c r="H41" s="1199"/>
      <c r="I41" s="1200"/>
      <c r="J41" s="727">
        <v>1</v>
      </c>
      <c r="K41" s="743">
        <f t="shared" si="1"/>
      </c>
      <c r="M41" s="664" t="s">
        <v>603</v>
      </c>
    </row>
    <row r="42" spans="1:14" ht="16.899999999999999" customHeight="1" x14ac:dyDescent="0.25">
      <c r="A42" s="742" t="s">
        <v>103</v>
      </c>
      <c r="B42" s="1196"/>
      <c r="C42" s="1197"/>
      <c r="D42" s="1197"/>
      <c r="E42" s="1198"/>
      <c r="F42" s="729"/>
      <c r="G42" s="649"/>
      <c r="H42" s="1199"/>
      <c r="I42" s="1200"/>
      <c r="J42" s="727">
        <v>1</v>
      </c>
      <c r="K42" s="743">
        <f t="shared" si="1"/>
      </c>
    </row>
    <row r="43" spans="1:14" ht="16.899999999999999" customHeight="1" x14ac:dyDescent="0.25">
      <c r="A43" s="742" t="s">
        <v>103</v>
      </c>
      <c r="B43" s="1196"/>
      <c r="C43" s="1197"/>
      <c r="D43" s="1197"/>
      <c r="E43" s="1198"/>
      <c r="F43" s="729"/>
      <c r="G43" s="649"/>
      <c r="H43" s="1199"/>
      <c r="I43" s="1200"/>
      <c r="J43" s="727">
        <v>1</v>
      </c>
      <c r="K43" s="743">
        <f t="shared" si="1"/>
      </c>
    </row>
    <row r="44" spans="1:14" ht="16.899999999999999" customHeight="1" thickBot="1" x14ac:dyDescent="0.3">
      <c r="A44" s="744" t="s">
        <v>105</v>
      </c>
      <c r="B44" s="1201"/>
      <c r="C44" s="1202"/>
      <c r="D44" s="1202"/>
      <c r="E44" s="1203"/>
      <c r="F44" s="729"/>
      <c r="G44" s="649"/>
      <c r="H44" s="1199"/>
      <c r="I44" s="1200"/>
      <c r="J44" s="745">
        <v>1</v>
      </c>
      <c r="K44" s="746">
        <f t="shared" si="1"/>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inlineStr">
        <is>
          <t>Skizze – Außenanlagen und Aufwuchs</t>
        </is>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c>
      <c r="C88" s="123" t="s">
        <v>44</v>
      </c>
      <c r="D88" s="138">
        <f>VLOOKUP(D90,uwe,2)</f>
      </c>
      <c r="E88" s="122" t="s">
        <v>47</v>
      </c>
      <c r="F88" s="122">
        <f>VLOOKUP(D90,uwe,5)</f>
      </c>
      <c r="G88" s="122"/>
      <c r="H88" s="123" t="s">
        <v>7</v>
      </c>
      <c r="I88" s="133">
        <f>Baulichkeiten!$I$13</f>
      </c>
      <c r="J88" s="58" t="s">
        <v>319</v>
      </c>
      <c r="K88" s="58" t="s">
        <v>160</v>
      </c>
    </row>
    <row r="89" spans="1:11" x14ac:dyDescent="0.25">
      <c r="A89" s="124"/>
      <c r="C89" s="78"/>
      <c r="I89" s="125"/>
      <c r="J89" s="58" t="s">
        <v>214</v>
      </c>
      <c r="K89" s="58" t="s">
        <v>161</v>
      </c>
    </row>
    <row r="90" spans="1:11" x14ac:dyDescent="0.25">
      <c r="A90" s="126" t="s">
        <v>156</v>
      </c>
      <c r="B90" s="177">
        <f>VLOOKUP(D90,uwe,3)</f>
      </c>
      <c r="C90" s="128" t="s">
        <v>170</v>
      </c>
      <c r="D90" s="1287" t="str">
        <f>Baulichkeiten!$G$12</f>
      </c>
      <c r="E90" s="1287"/>
      <c r="F90" s="1287"/>
      <c r="G90" s="127"/>
      <c r="H90" s="128" t="s">
        <v>37</v>
      </c>
      <c r="I90" s="178">
        <f>VLOOKUP(I88,nelke,F88)</f>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c>
      <c r="C93" s="123" t="s">
        <v>44</v>
      </c>
      <c r="D93" s="138">
        <f>VLOOKUP(D95,uwe,2)</f>
      </c>
      <c r="E93" s="122" t="s">
        <v>47</v>
      </c>
      <c r="F93" s="122">
        <f>VLOOKUP(D95,uwe,5)</f>
      </c>
      <c r="G93" s="1289" t="s">
        <v>7</v>
      </c>
      <c r="H93" s="1289"/>
      <c r="I93" s="133">
        <f>Baulichkeiten!$I$22</f>
      </c>
      <c r="J93" s="58" t="s">
        <v>323</v>
      </c>
      <c r="K93" s="58" t="s">
        <v>165</v>
      </c>
    </row>
    <row r="94" spans="1:11" x14ac:dyDescent="0.25">
      <c r="A94" s="124"/>
      <c r="C94" s="78"/>
      <c r="I94" s="125"/>
      <c r="J94" s="58" t="s">
        <v>311</v>
      </c>
      <c r="K94" s="58" t="s">
        <v>166</v>
      </c>
    </row>
    <row r="95" spans="1:11" x14ac:dyDescent="0.25">
      <c r="A95" s="126" t="s">
        <v>156</v>
      </c>
      <c r="B95" s="177">
        <f>VLOOKUP(D95,uwe,3)</f>
      </c>
      <c r="C95" s="128" t="s">
        <v>170</v>
      </c>
      <c r="D95" s="1287" t="str">
        <f>Baulichkeiten!$G$21</f>
      </c>
      <c r="E95" s="1287"/>
      <c r="F95" s="1287"/>
      <c r="G95" s="127"/>
      <c r="H95" s="128" t="s">
        <v>37</v>
      </c>
      <c r="I95" s="178">
        <f>VLOOKUP(I93,nelke,F93)</f>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c>
      <c r="C98" s="123" t="s">
        <v>44</v>
      </c>
      <c r="D98" s="138">
        <f>VLOOKUP(D100,uwe,2)</f>
      </c>
      <c r="E98" s="122" t="s">
        <v>47</v>
      </c>
      <c r="F98" s="122">
        <f>VLOOKUP(D100,uwe,5)</f>
      </c>
      <c r="G98" s="1289" t="s">
        <v>7</v>
      </c>
      <c r="H98" s="1289"/>
      <c r="I98" s="137">
        <f>Baulichkeiten!$I$31</f>
      </c>
      <c r="J98" s="58" t="s">
        <v>306</v>
      </c>
      <c r="K98" s="58" t="s">
        <v>167</v>
      </c>
    </row>
    <row r="99" spans="1:12" x14ac:dyDescent="0.25">
      <c r="A99" s="124"/>
      <c r="C99" s="78"/>
      <c r="J99" s="58" t="s">
        <v>324</v>
      </c>
      <c r="K99" s="58" t="s">
        <v>168</v>
      </c>
    </row>
    <row r="100" spans="1:12" x14ac:dyDescent="0.25">
      <c r="A100" s="126" t="s">
        <v>45</v>
      </c>
      <c r="B100" s="177">
        <f>VLOOKUP(D100,uwe,3)</f>
      </c>
      <c r="C100" s="128" t="s">
        <v>171</v>
      </c>
      <c r="D100" s="1288" t="str">
        <f>Baulichkeiten!$G$30</f>
      </c>
      <c r="E100" s="1288"/>
      <c r="F100" s="1288"/>
      <c r="G100" s="127"/>
      <c r="H100" s="128" t="s">
        <v>37</v>
      </c>
      <c r="I100" s="178">
        <f>VLOOKUP(I98,nelke,F98)</f>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c>
      <c r="E103" s="122" t="s">
        <v>47</v>
      </c>
      <c r="F103" s="122">
        <f>VLOOKUP(D105,uwe,5)</f>
      </c>
      <c r="G103" s="1289" t="s">
        <v>7</v>
      </c>
      <c r="H103" s="1289"/>
      <c r="I103" s="137">
        <f>Baulichkeiten!$I$48</f>
      </c>
      <c r="J103" s="59" t="s">
        <v>326</v>
      </c>
      <c r="K103" s="59" t="s">
        <v>169</v>
      </c>
    </row>
    <row r="104" spans="1:12" x14ac:dyDescent="0.25">
      <c r="A104" s="124"/>
      <c r="C104" s="78"/>
      <c r="J104" s="59" t="s">
        <v>294</v>
      </c>
      <c r="K104" s="135">
        <v>0</v>
      </c>
    </row>
    <row r="105" spans="1:12" x14ac:dyDescent="0.25">
      <c r="A105" s="126" t="s">
        <v>45</v>
      </c>
      <c r="B105" s="177">
        <f>VLOOKUP(D105,uwe,3)</f>
      </c>
      <c r="C105" s="128" t="s">
        <v>171</v>
      </c>
      <c r="D105" s="1287" t="str">
        <f>Baulichkeiten!$G$47</f>
      </c>
      <c r="E105" s="1287"/>
      <c r="F105" s="1287"/>
      <c r="G105" s="127"/>
      <c r="H105" s="128" t="s">
        <v>37</v>
      </c>
      <c r="I105" s="176">
        <f>VLOOKUP(I103,nelke,F103)</f>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c>
      <c r="E112" t="s">
        <v>47</v>
      </c>
      <c r="F112" s="117">
        <v>6</v>
      </c>
      <c r="H112" s="119" t="s">
        <v>349</v>
      </c>
    </row>
    <row r="113" spans="1:8" x14ac:dyDescent="0.25">
      <c r="A113" s="141"/>
      <c r="F113" s="117"/>
    </row>
    <row r="114" spans="1:8" x14ac:dyDescent="0.25">
      <c r="A114" s="141"/>
      <c r="C114" t="s">
        <v>46</v>
      </c>
      <c r="D114" s="186" t="e">
        <f>VLOOKUP(D112,uwe,4)</f>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c>
      <c r="E117" t="s">
        <v>47</v>
      </c>
      <c r="F117" s="117">
        <v>6</v>
      </c>
    </row>
    <row r="118" spans="1:8" x14ac:dyDescent="0.25">
      <c r="A118" s="141"/>
      <c r="F118" s="117"/>
      <c r="H118" s="118" t="s">
        <v>337</v>
      </c>
    </row>
    <row r="119" spans="1:8" x14ac:dyDescent="0.25">
      <c r="A119" s="141"/>
      <c r="C119" t="s">
        <v>46</v>
      </c>
      <c r="D119" s="186" t="e">
        <f>VLOOKUP(D117,uwe,4)</f>
      </c>
      <c r="F119" s="117"/>
    </row>
    <row r="120" spans="1:8" x14ac:dyDescent="0.25">
      <c r="A120" s="141"/>
      <c r="F120" s="117"/>
    </row>
    <row r="121" spans="1:8" x14ac:dyDescent="0.25">
      <c r="A121" s="141"/>
      <c r="F121" s="117"/>
    </row>
    <row r="122" spans="1:8" x14ac:dyDescent="0.25">
      <c r="A122" s="141" t="s">
        <v>10</v>
      </c>
      <c r="B122" s="142" t="s">
        <v>335</v>
      </c>
      <c r="C122" t="s">
        <v>44</v>
      </c>
      <c r="D122" s="147" t="e">
        <f>#REF!</f>
      </c>
      <c r="E122" t="s">
        <v>47</v>
      </c>
      <c r="F122" s="117">
        <v>6</v>
      </c>
    </row>
    <row r="123" spans="1:8" x14ac:dyDescent="0.25">
      <c r="A123" s="141"/>
      <c r="F123" s="117"/>
    </row>
    <row r="124" spans="1:8" ht="15.75" thickBot="1" x14ac:dyDescent="0.3">
      <c r="A124" s="144"/>
      <c r="B124" s="80"/>
      <c r="C124" s="80" t="s">
        <v>46</v>
      </c>
      <c r="D124" s="187" t="e">
        <f>VLOOKUP(D122,uwe,4)</f>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