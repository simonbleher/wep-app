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7.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edst\AppData\Local\Packages\5319275A.WhatsAppDesktop_cv1g1gvanyjgm\LocalState\sessions\6C304A8CF489C8FF7581EF48808F46B337280685\transfers\2026-40\"/>
    </mc:Choice>
  </mc:AlternateContent>
  <xr:revisionPtr revIDLastSave="0" documentId="13_ncr:1_{3141131A-4271-4630-9B12-5DE8F8A4DEB3}" xr6:coauthVersionLast="47" xr6:coauthVersionMax="47" xr10:uidLastSave="{00000000-0000-0000-0000-000000000000}"/>
  <bookViews>
    <workbookView xWindow="-120" yWindow="-120" windowWidth="38640" windowHeight="21120" tabRatio="903" activeTab="1" xr2:uid="{DA8451C6-FBE2-49E2-BF0C-0008C40CBBA6}"/>
  </bookViews>
  <sheets>
    <sheet name="Formalien" sheetId="5" r:id="rId1"/>
    <sheet name="Deckbl UPV " sheetId="13" r:id="rId2"/>
    <sheet name="Baulichkeiten" sheetId="1" r:id="rId3"/>
    <sheet name="Mängelliste" sheetId="26" r:id="rId4"/>
    <sheet name="Außenanlagen" sheetId="8" r:id="rId5"/>
    <sheet name="Aufwuchs I" sheetId="6" r:id="rId6"/>
    <sheet name="Aufwuchs II" sheetId="7" r:id="rId7"/>
    <sheet name="AnlIV (Blatt 3)ASG" sheetId="10" state="hidden" r:id="rId8"/>
    <sheet name="Anl IV Schuppen" sheetId="31" state="hidden" r:id="rId9"/>
    <sheet name="Anl IV Dach" sheetId="32" state="hidden" r:id="rId10"/>
    <sheet name="Deckbl UPV neu (Sicherheit)" sheetId="17" state="hidden" r:id="rId11"/>
    <sheet name="Deckbl UPV  (alt)" sheetId="19" state="hidden" r:id="rId12"/>
    <sheet name="Deckbl Auftragsgutachten" sheetId="20" state="hidden" r:id="rId13"/>
    <sheet name="Beseitigungsauflagen" sheetId="34" state="hidden" r:id="rId14"/>
    <sheet name="Bewertung Aufwuchs" sheetId="35" state="hidden" r:id="rId15"/>
    <sheet name="Bewertung Außenanlagen" sheetId="36" state="hidden" r:id="rId16"/>
    <sheet name="Beseitigungskosten" sheetId="44" r:id="rId17"/>
    <sheet name="Skizze Bau" sheetId="37" r:id="rId18"/>
    <sheet name="Skizze Außenanlage-Aufwuchs" sheetId="42" r:id="rId19"/>
    <sheet name="Abkürzungsverzeichnis" sheetId="39" r:id="rId20"/>
    <sheet name="Tabelle1" sheetId="27" state="hidden" r:id="rId21"/>
  </sheets>
  <definedNames>
    <definedName name="BKL.Beschreibung">Tabelle1!$C$128:$G$151</definedName>
    <definedName name="_xlnm.Print_Area" localSheetId="9">'Anl IV Dach'!$A$1:$K$116</definedName>
    <definedName name="_xlnm.Print_Area" localSheetId="8">'Anl IV Schuppen'!$A$1:$K$124</definedName>
    <definedName name="_xlnm.Print_Area" localSheetId="5">'Aufwuchs I'!$A$1:$L$48</definedName>
    <definedName name="_xlnm.Print_Area" localSheetId="4">Außenanlagen!$A$1:$L$48</definedName>
    <definedName name="_xlnm.Print_Area" localSheetId="2">Baulichkeiten!$A$1:$K$109</definedName>
    <definedName name="_xlnm.Print_Area" localSheetId="16">Beseitigungskosten!$A$2:$K$61</definedName>
    <definedName name="_xlnm.Print_Area" localSheetId="1">'Deckbl UPV '!$A$1:$G$45</definedName>
    <definedName name="_xlnm.Print_Area" localSheetId="3">Mängelliste!$A$1:$F$48</definedName>
    <definedName name="_xlnm.Print_Area" localSheetId="18">'Skizze Außenanlage-Aufwuchs'!$A$1:$H$50</definedName>
    <definedName name="_xlnm.Print_Area" localSheetId="17">'Skizze Bau'!$A$1:$H$50</definedName>
    <definedName name="Gutachten" localSheetId="16">Beseitigungskosten!$C$63</definedName>
    <definedName name="Jürgen">Tabelle1!$C$130:$G$151</definedName>
    <definedName name="Kinderspielhaus" localSheetId="8">'Anl IV Schuppen'!$B$137</definedName>
    <definedName name="nelke">Tabelle1!$B$3:$F$83</definedName>
    <definedName name="rose">Tabelle1!$B$129:$G$151</definedName>
    <definedName name="typen">Baulichkeiten!$N$45:$N$66</definedName>
    <definedName name="ungeprüft">Tabelle1!$I$12</definedName>
    <definedName name="uwe">Tabelle1!$J$54:$N$75</definedName>
    <definedName name="uwe.2">Tabelle1!$J$54:$N$75</definedName>
    <definedName name="wasserlos" localSheetId="16">Beseitigungskosten!$C$67</definedName>
  </definedNames>
  <calcPr calcId="191029" fullCalcOnLoad="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Jürgen</author>
  </authors>
  <commentList>
    <comment ref="H7" authorId="0" shapeId="0" xr:uid="{B995DCBB-D5CC-4175-A5D9-CDE22D58D731}">
      <text>
        <r>
          <rPr>
            <b/>
            <sz val="9"/>
            <color indexed="81"/>
            <rFont val="Segoe UI"/>
            <family val="2"/>
          </rPr>
          <t>ggf.neuen Bauindex eintragen</t>
        </r>
        <r>
          <rPr>
            <sz val="9"/>
            <color indexed="81"/>
            <rFont val="Segoe UI"/>
            <family val="2"/>
          </rPr>
          <t xml:space="preserve">
</t>
        </r>
      </text>
    </comment>
    <comment ref="I7" authorId="0" shapeId="0" xr:uid="{3C34E855-6EA4-44DA-A2F7-27DD6D33C576}">
      <text>
        <r>
          <rPr>
            <b/>
            <sz val="9"/>
            <color indexed="81"/>
            <rFont val="Segoe UI"/>
            <family val="2"/>
          </rPr>
          <t>ggf. neues Jahr  eintragen</t>
        </r>
        <r>
          <rPr>
            <sz val="9"/>
            <color indexed="81"/>
            <rFont val="Segoe UI"/>
            <family val="2"/>
          </rPr>
          <t xml:space="preserve">
</t>
        </r>
      </text>
    </comment>
    <comment ref="G12" authorId="0" shapeId="0" xr:uid="{694E4843-04A7-4A79-96F4-A57BEC5B75EA}">
      <text>
        <r>
          <rPr>
            <b/>
            <sz val="9"/>
            <color indexed="81"/>
            <rFont val="Segoe UI"/>
            <family val="2"/>
          </rPr>
          <t>dropdown</t>
        </r>
        <r>
          <rPr>
            <sz val="9"/>
            <color indexed="81"/>
            <rFont val="Segoe UI"/>
            <family val="2"/>
          </rPr>
          <t xml:space="preserve">
ohne Baulcikeit bitte fehlt</t>
        </r>
      </text>
    </comment>
    <comment ref="D13" authorId="0" shapeId="0" xr:uid="{B968AF56-F44A-47B5-93C8-33E037B6383A}">
      <text>
        <r>
          <rPr>
            <b/>
            <sz val="9"/>
            <color indexed="81"/>
            <rFont val="Segoe UI"/>
            <family val="2"/>
          </rPr>
          <t>zutreffenden Text eingeben</t>
        </r>
        <r>
          <rPr>
            <sz val="9"/>
            <color indexed="81"/>
            <rFont val="Segoe UI"/>
            <family val="2"/>
          </rPr>
          <t xml:space="preserve">
z.B. 
Lt. Bauschein
lt.Angabe
geschätzt</t>
        </r>
      </text>
    </comment>
    <comment ref="F21" authorId="0" shapeId="0" xr:uid="{00000000-0006-0000-0200-000002000000}">
      <text>
        <r>
          <rPr>
            <b/>
            <sz val="9"/>
            <color indexed="81"/>
            <rFont val="Segoe UI"/>
            <family val="2"/>
          </rPr>
          <t>Bauklasse kommt entsprechend Baubeschreibung</t>
        </r>
        <r>
          <rPr>
            <sz val="9"/>
            <color indexed="81"/>
            <rFont val="Segoe UI"/>
            <family val="2"/>
          </rPr>
          <t xml:space="preserve">
</t>
        </r>
      </text>
    </comment>
    <comment ref="G21" authorId="0" shapeId="0" xr:uid="{637AA743-807A-44EE-B2F6-9230ED2F0E18}">
      <text>
        <r>
          <rPr>
            <b/>
            <sz val="9"/>
            <color indexed="81"/>
            <rFont val="Segoe UI"/>
            <family val="2"/>
          </rPr>
          <t>dropdown</t>
        </r>
        <r>
          <rPr>
            <sz val="9"/>
            <color indexed="81"/>
            <rFont val="Segoe UI"/>
            <family val="2"/>
          </rPr>
          <t xml:space="preserve">
ohne Baulcikeit bitte fehlt</t>
        </r>
      </text>
    </comment>
    <comment ref="D22" authorId="0" shapeId="0" xr:uid="{00000000-0006-0000-0200-000004000000}">
      <text>
        <r>
          <rPr>
            <b/>
            <sz val="9"/>
            <color indexed="81"/>
            <rFont val="Segoe UI"/>
            <family val="2"/>
          </rPr>
          <t>zutreffenden Text eingeben</t>
        </r>
        <r>
          <rPr>
            <sz val="9"/>
            <color indexed="81"/>
            <rFont val="Segoe UI"/>
            <family val="2"/>
          </rPr>
          <t xml:space="preserve">
z.B. 
Lt. Bauschein
lt.Angabe
geschätzt</t>
        </r>
      </text>
    </comment>
    <comment ref="F30" authorId="0" shapeId="0" xr:uid="{AD6BD8B4-DD19-4DDD-83A1-89BE9D51E2FF}">
      <text>
        <r>
          <rPr>
            <b/>
            <sz val="9"/>
            <color indexed="81"/>
            <rFont val="Segoe UI"/>
            <family val="2"/>
          </rPr>
          <t>Bauklasse kommt entsprechend Baubeschreibung</t>
        </r>
        <r>
          <rPr>
            <sz val="9"/>
            <color indexed="81"/>
            <rFont val="Segoe UI"/>
            <family val="2"/>
          </rPr>
          <t xml:space="preserve">
</t>
        </r>
      </text>
    </comment>
    <comment ref="G30" authorId="0" shapeId="0" xr:uid="{97AF8239-055E-48FB-86EF-4D966F27D328}">
      <text>
        <r>
          <rPr>
            <b/>
            <sz val="9"/>
            <color indexed="81"/>
            <rFont val="Segoe UI"/>
            <family val="2"/>
          </rPr>
          <t>dropdown</t>
        </r>
        <r>
          <rPr>
            <sz val="9"/>
            <color indexed="81"/>
            <rFont val="Segoe UI"/>
            <family val="2"/>
          </rPr>
          <t xml:space="preserve">
ohne Baulcikeit bitte fehlt</t>
        </r>
      </text>
    </comment>
    <comment ref="D31" authorId="0" shapeId="0" xr:uid="{077098FF-DB73-4B4F-A8F6-9EEA5AC330DA}">
      <text>
        <r>
          <rPr>
            <b/>
            <sz val="9"/>
            <color indexed="81"/>
            <rFont val="Segoe UI"/>
            <family val="2"/>
          </rPr>
          <t>zutreffenden Text eingeben</t>
        </r>
        <r>
          <rPr>
            <sz val="9"/>
            <color indexed="81"/>
            <rFont val="Segoe UI"/>
            <family val="2"/>
          </rPr>
          <t xml:space="preserve">
z.B. 
Lt. Bauschein
lt.Angabe
geschätzt</t>
        </r>
      </text>
    </comment>
    <comment ref="G40" authorId="1" shapeId="0" xr:uid="{A708DCDF-D702-43C7-8EEE-F6CB24D2596B}">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D41" authorId="0" shapeId="0" xr:uid="{6AC692C2-5F3C-43E7-938C-17835117A9D2}">
      <text>
        <r>
          <rPr>
            <b/>
            <sz val="9"/>
            <color indexed="81"/>
            <rFont val="Segoe UI"/>
            <family val="2"/>
          </rPr>
          <t>bis 160,00 €</t>
        </r>
        <r>
          <rPr>
            <sz val="9"/>
            <color indexed="81"/>
            <rFont val="Segoe UI"/>
            <family val="2"/>
          </rPr>
          <t xml:space="preserve">
</t>
        </r>
      </text>
    </comment>
    <comment ref="F47" authorId="0" shapeId="0" xr:uid="{BB11AE64-023D-4340-9FB4-9E5C8DF27ECB}">
      <text>
        <r>
          <rPr>
            <b/>
            <sz val="9"/>
            <color indexed="81"/>
            <rFont val="Segoe UI"/>
            <family val="2"/>
          </rPr>
          <t>Bauklasse kommt entsprechend Baubeschreibung</t>
        </r>
        <r>
          <rPr>
            <sz val="9"/>
            <color indexed="81"/>
            <rFont val="Segoe UI"/>
            <family val="2"/>
          </rPr>
          <t xml:space="preserve">
</t>
        </r>
      </text>
    </comment>
    <comment ref="G47" authorId="0" shapeId="0" xr:uid="{1B91F929-A862-4CFF-9D53-C4DDEB16AAC3}">
      <text>
        <r>
          <rPr>
            <b/>
            <sz val="9"/>
            <color indexed="81"/>
            <rFont val="Segoe UI"/>
            <family val="2"/>
          </rPr>
          <t>dropdown</t>
        </r>
        <r>
          <rPr>
            <sz val="9"/>
            <color indexed="81"/>
            <rFont val="Segoe UI"/>
            <family val="2"/>
          </rPr>
          <t xml:space="preserve">
ohne Baulcikeit bitte fehlt</t>
        </r>
      </text>
    </comment>
    <comment ref="D48" authorId="0" shapeId="0" xr:uid="{11325F21-52C0-4880-996E-1463B840D3E5}">
      <text>
        <r>
          <rPr>
            <b/>
            <sz val="9"/>
            <color indexed="81"/>
            <rFont val="Segoe UI"/>
            <family val="2"/>
          </rPr>
          <t>zutreffenden Text eingeben</t>
        </r>
        <r>
          <rPr>
            <sz val="9"/>
            <color indexed="81"/>
            <rFont val="Segoe UI"/>
            <family val="2"/>
          </rPr>
          <t xml:space="preserve">
z.B. 
Lt. Bauschein
lt.Angabe
geschätzt</t>
        </r>
      </text>
    </comment>
    <comment ref="E63" authorId="0" shapeId="0" xr:uid="{00000000-0006-0000-0200-000010000000}">
      <text>
        <r>
          <rPr>
            <b/>
            <sz val="9"/>
            <color indexed="81"/>
            <rFont val="Segoe UI"/>
            <family val="2"/>
          </rPr>
          <t xml:space="preserve">Regelwerte
Laube Bauklasse I        = 275,00 €
Laube Bauklasse II/III = 225,00 €
Laube Bauklasse IV      = 175,00 € </t>
        </r>
        <r>
          <rPr>
            <sz val="9"/>
            <color indexed="81"/>
            <rFont val="Segoe UI"/>
            <family val="2"/>
          </rPr>
          <t xml:space="preserve">
</t>
        </r>
        <r>
          <rPr>
            <b/>
            <i/>
            <sz val="11"/>
            <color indexed="81"/>
            <rFont val="Segoe UI"/>
            <family val="2"/>
          </rPr>
          <t>Sonst immer 0 eintragen, sonst funktioniert die Endabrechnung nicht.</t>
        </r>
        <r>
          <rPr>
            <sz val="9"/>
            <color indexed="81"/>
            <rFont val="Segoe UI"/>
            <family val="2"/>
          </rPr>
          <t xml:space="preserve">                 </t>
        </r>
      </text>
    </comment>
    <comment ref="G63" authorId="0" shapeId="0" xr:uid="{56343FA1-7E5E-445E-8D1A-24D28F3961DC}">
      <text>
        <r>
          <rPr>
            <b/>
            <sz val="9"/>
            <color indexed="81"/>
            <rFont val="Segoe UI"/>
            <family val="2"/>
          </rPr>
          <t xml:space="preserve">kommt automatisch </t>
        </r>
        <r>
          <rPr>
            <sz val="9"/>
            <color indexed="81"/>
            <rFont val="Segoe UI"/>
            <family val="2"/>
          </rPr>
          <t xml:space="preserve">
</t>
        </r>
      </text>
    </comment>
    <comment ref="E64" authorId="0" shapeId="0" xr:uid="{1114026E-1876-47EA-9738-05F727C98639}">
      <text>
        <r>
          <rPr>
            <sz val="9"/>
            <color indexed="81"/>
            <rFont val="Segoe UI"/>
            <family val="2"/>
          </rPr>
          <t xml:space="preserve">Wird vom 1. Bauteil (Zeile 15) übernommen
</t>
        </r>
      </text>
    </comment>
    <comment ref="E66" authorId="1" shapeId="0" xr:uid="{00000000-0006-0000-0200-000011000000}">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H66" authorId="0" shapeId="0" xr:uid="{00000000-0006-0000-0200-000012000000}">
      <text>
        <r>
          <rPr>
            <b/>
            <sz val="9"/>
            <color indexed="81"/>
            <rFont val="Segoe UI"/>
            <family val="2"/>
          </rPr>
          <t>Eintrag  bei angebautem Vorplatz.  Mindeteingabe 0</t>
        </r>
        <r>
          <rPr>
            <sz val="9"/>
            <color indexed="81"/>
            <rFont val="Segoe UI"/>
            <family val="2"/>
          </rPr>
          <t xml:space="preserve">
</t>
        </r>
      </text>
    </comment>
    <comment ref="B67" authorId="0" shapeId="0" xr:uid="{3B1787FD-4253-4990-B311-031280BC7FF1}">
      <text>
        <r>
          <rPr>
            <b/>
            <sz val="9"/>
            <color indexed="81"/>
            <rFont val="Segoe UI"/>
            <family val="2"/>
          </rPr>
          <t>user:</t>
        </r>
        <r>
          <rPr>
            <sz val="9"/>
            <color indexed="81"/>
            <rFont val="Segoe UI"/>
            <family val="2"/>
          </rPr>
          <t xml:space="preserve">
Eintrag
hochwertig  
minderwertig. 
Wenn kein angebauter Laubenvorplatz immer
</t>
        </r>
        <r>
          <rPr>
            <i/>
            <sz val="9"/>
            <color indexed="81"/>
            <rFont val="Segoe UI"/>
            <family val="2"/>
          </rPr>
          <t xml:space="preserve">ohne </t>
        </r>
        <r>
          <rPr>
            <sz val="9"/>
            <color indexed="81"/>
            <rFont val="Segoe UI"/>
            <family val="2"/>
          </rPr>
          <t>eintragen!!</t>
        </r>
      </text>
    </comment>
    <comment ref="E67" authorId="0" shapeId="0" xr:uid="{00000000-0006-0000-0200-000013000000}">
      <text>
        <r>
          <rPr>
            <b/>
            <sz val="9"/>
            <color indexed="81"/>
            <rFont val="Segoe UI"/>
            <family val="2"/>
          </rPr>
          <t xml:space="preserve">  Eintra erfolgt auto-
matisch</t>
        </r>
        <r>
          <rPr>
            <sz val="9"/>
            <color indexed="81"/>
            <rFont val="Segoe UI"/>
            <family val="2"/>
          </rPr>
          <t xml:space="preserve">
</t>
        </r>
      </text>
    </comment>
    <comment ref="G67" authorId="0" shapeId="0" xr:uid="{00000000-0006-0000-0200-000014000000}">
      <text>
        <r>
          <rPr>
            <b/>
            <sz val="9"/>
            <color indexed="81"/>
            <rFont val="Segoe UI"/>
            <family val="2"/>
          </rPr>
          <t xml:space="preserve"> Einschätzung bei angebautem Vordach</t>
        </r>
        <r>
          <rPr>
            <sz val="9"/>
            <color indexed="81"/>
            <rFont val="Segoe UI"/>
            <family val="2"/>
          </rPr>
          <t xml:space="preserve">
</t>
        </r>
      </text>
    </comment>
    <comment ref="N67" authorId="0" shapeId="0" xr:uid="{4A5187D7-1D9C-4EB9-87AF-8B08B22A2528}">
      <text>
        <r>
          <rPr>
            <b/>
            <sz val="9"/>
            <color indexed="81"/>
            <rFont val="Segoe UI"/>
            <family val="2"/>
          </rPr>
          <t>Dachaus hochwertigen Materialien 
z.B.: Doppelkammerstegplatten und verlängerte Dachbalken</t>
        </r>
        <r>
          <rPr>
            <sz val="9"/>
            <color indexed="81"/>
            <rFont val="Segoe UI"/>
            <family val="2"/>
          </rPr>
          <t xml:space="preserve">
</t>
        </r>
      </text>
    </comment>
    <comment ref="F74" authorId="0" shapeId="0" xr:uid="{CD55BEF1-56E2-4E5B-8BE0-255B48923FC4}">
      <text>
        <r>
          <rPr>
            <b/>
            <sz val="9"/>
            <color indexed="81"/>
            <rFont val="Segoe UI"/>
            <family val="2"/>
          </rPr>
          <t>Werden 470,00 € angesetzt (monolytische Gruben) sind höchstens 16 Jahre anzusetzen</t>
        </r>
        <r>
          <rPr>
            <sz val="9"/>
            <color indexed="81"/>
            <rFont val="Segoe UI"/>
            <family val="2"/>
          </rPr>
          <t xml:space="preserve">
</t>
        </r>
      </text>
    </comment>
    <comment ref="D76" authorId="0" shapeId="0" xr:uid="{00000000-0006-0000-0200-000015000000}">
      <text>
        <r>
          <rPr>
            <b/>
            <sz val="9"/>
            <color indexed="81"/>
            <rFont val="Segoe UI"/>
            <family val="2"/>
          </rPr>
          <t xml:space="preserve">Datum </t>
        </r>
        <r>
          <rPr>
            <sz val="9"/>
            <color indexed="81"/>
            <rFont val="Segoe UI"/>
            <family val="2"/>
          </rPr>
          <t xml:space="preserve">
</t>
        </r>
      </text>
    </comment>
    <comment ref="E76" authorId="0" shapeId="0" xr:uid="{00000000-0006-0000-0200-000016000000}">
      <text>
        <r>
          <rPr>
            <b/>
            <sz val="9"/>
            <color indexed="81"/>
            <rFont val="Segoe UI"/>
            <family val="2"/>
          </rPr>
          <t xml:space="preserve">Eintrag:
fehlt </t>
        </r>
        <r>
          <rPr>
            <sz val="9"/>
            <color indexed="81"/>
            <rFont val="Segoe UI"/>
            <family val="2"/>
          </rPr>
          <t xml:space="preserve">
</t>
        </r>
      </text>
    </comment>
    <comment ref="K77" authorId="0" shapeId="0" xr:uid="{00000000-0006-0000-0200-000017000000}">
      <text>
        <r>
          <rPr>
            <b/>
            <sz val="9"/>
            <color indexed="81"/>
            <rFont val="Segoe UI"/>
            <family val="2"/>
          </rPr>
          <t>150,00€ mit Minuszeichen eingeben</t>
        </r>
        <r>
          <rPr>
            <sz val="9"/>
            <color indexed="81"/>
            <rFont val="Segoe U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2" authorId="0" shapeId="0" xr:uid="{C63087DF-A465-4BD3-B57C-F092A8CB38C7}">
      <text>
        <r>
          <rPr>
            <b/>
            <sz val="9"/>
            <color indexed="81"/>
            <rFont val="Segoe UI"/>
            <family val="2"/>
          </rPr>
          <t>graue Zellen zum freien Eintrag</t>
        </r>
        <r>
          <rPr>
            <sz val="9"/>
            <color indexed="81"/>
            <rFont val="Segoe UI"/>
            <family val="2"/>
          </rPr>
          <t xml:space="preserve">
</t>
        </r>
      </text>
    </comment>
    <comment ref="D20" authorId="0" shapeId="0" xr:uid="{9F906C8B-7E8C-477F-ABA7-256F15A2E4E2}">
      <text>
        <r>
          <rPr>
            <b/>
            <sz val="9"/>
            <color indexed="81"/>
            <rFont val="Segoe UI"/>
            <family val="2"/>
          </rPr>
          <t>grue Zelllen zum freien Eintrag</t>
        </r>
        <r>
          <rPr>
            <sz val="9"/>
            <color indexed="81"/>
            <rFont val="Segoe UI"/>
            <family val="2"/>
          </rPr>
          <t xml:space="preserve">
</t>
        </r>
      </text>
    </comment>
    <comment ref="D27" authorId="0" shapeId="0" xr:uid="{E5C17145-E059-46B6-9E8D-D680DB1D65D7}">
      <text>
        <r>
          <rPr>
            <b/>
            <sz val="9"/>
            <color indexed="81"/>
            <rFont val="Segoe UI"/>
            <family val="2"/>
          </rPr>
          <t>graue Zellen zum freien Eintrag</t>
        </r>
        <r>
          <rPr>
            <sz val="9"/>
            <color indexed="81"/>
            <rFont val="Segoe UI"/>
            <family val="2"/>
          </rPr>
          <t xml:space="preserve">
</t>
        </r>
      </text>
    </comment>
    <comment ref="D30" authorId="0" shapeId="0" xr:uid="{72EB9B40-2F46-42E2-8FBB-7EB16B1B34D1}">
      <text>
        <r>
          <rPr>
            <b/>
            <sz val="9"/>
            <color indexed="81"/>
            <rFont val="Segoe UI"/>
            <family val="2"/>
          </rPr>
          <t>graue Zelllen zum freien Eintrag</t>
        </r>
        <r>
          <rPr>
            <sz val="9"/>
            <color indexed="81"/>
            <rFont val="Segoe UI"/>
            <family val="2"/>
          </rPr>
          <t xml:space="preserve">
</t>
        </r>
      </text>
    </comment>
    <comment ref="D32" authorId="0" shapeId="0" xr:uid="{EAC18EBC-A44D-4CE0-9D28-FBE1A70ED021}">
      <text>
        <r>
          <rPr>
            <b/>
            <sz val="9"/>
            <color indexed="81"/>
            <rFont val="Segoe UI"/>
            <family val="2"/>
          </rPr>
          <t>graue Zellen zumfreien Eintrag</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Dietmar Targiel</author>
  </authors>
  <commentList>
    <comment ref="C15" authorId="0" shapeId="0" xr:uid="{C132C61F-A454-4F0C-8827-25ECB6007A1D}">
      <text>
        <r>
          <rPr>
            <sz val="9"/>
            <color indexed="81"/>
            <rFont val="Segoe UI"/>
            <family val="2"/>
          </rPr>
          <t xml:space="preserve">
</t>
        </r>
        <r>
          <rPr>
            <b/>
            <sz val="9"/>
            <color indexed="81"/>
            <rFont val="Segoe UI"/>
            <family val="2"/>
          </rPr>
          <t>Wasseranschlußgrube:</t>
        </r>
        <r>
          <rPr>
            <sz val="9"/>
            <color indexed="81"/>
            <rFont val="Segoe UI"/>
            <family val="2"/>
          </rPr>
          <t xml:space="preserve"> minimal 1,0 m² Grundfläche und ausreichende Reparaturhöhe, bis. max. 3,0 m³, </t>
        </r>
        <r>
          <rPr>
            <b/>
            <sz val="9"/>
            <color indexed="81"/>
            <rFont val="Segoe UI"/>
            <family val="2"/>
          </rPr>
          <t>unter 1m² 1,00€</t>
        </r>
        <r>
          <rPr>
            <sz val="9"/>
            <color indexed="81"/>
            <rFont val="Segoe UI"/>
            <family val="2"/>
          </rPr>
          <t xml:space="preserve">
</t>
        </r>
        <r>
          <rPr>
            <b/>
            <sz val="9"/>
            <color indexed="81"/>
            <rFont val="Segoe UI"/>
            <family val="2"/>
          </rPr>
          <t>Versiegelung:</t>
        </r>
        <r>
          <rPr>
            <sz val="9"/>
            <color indexed="81"/>
            <rFont val="Segoe UI"/>
            <family val="2"/>
          </rPr>
          <t xml:space="preserve"> höchsten 6 % der verbleibenden Gartenfläche
</t>
        </r>
        <r>
          <rPr>
            <b/>
            <sz val="9"/>
            <color indexed="81"/>
            <rFont val="Segoe UI"/>
            <family val="2"/>
          </rPr>
          <t>Hochbeete:</t>
        </r>
        <r>
          <rPr>
            <sz val="9"/>
            <color indexed="81"/>
            <rFont val="Segoe UI"/>
            <family val="2"/>
          </rPr>
          <t xml:space="preserve"> max. 10% der Gartenfläche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8" authorId="0" shapeId="0" xr:uid="{A81FD10B-600E-4B4C-AEDA-BF64575FC949}">
      <text>
        <r>
          <rPr>
            <b/>
            <sz val="9"/>
            <color indexed="81"/>
            <rFont val="Segoe UI"/>
            <family val="2"/>
          </rPr>
          <t>Werden 470,00 € angesetzt (monolytische Gruben) sind höchstens 16 Jahre anzusetzen</t>
        </r>
        <r>
          <rPr>
            <sz val="9"/>
            <color indexed="81"/>
            <rFont val="Segoe UI"/>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28961421-ECEE-429B-B565-C20D964C89AA}">
      <text>
        <r>
          <rPr>
            <b/>
            <sz val="9"/>
            <color indexed="81"/>
            <rFont val="Segoe UI"/>
            <family val="2"/>
          </rPr>
          <t>ggf.: Ohne Einbehalt</t>
        </r>
        <r>
          <rPr>
            <sz val="9"/>
            <color indexed="81"/>
            <rFont val="Segoe UI"/>
            <family val="2"/>
          </rPr>
          <t xml:space="preserve">
</t>
        </r>
      </text>
    </comment>
    <comment ref="F18" authorId="0" shapeId="0" xr:uid="{887BB949-E43D-49C3-8A7F-A77A0D36E05D}">
      <text>
        <r>
          <rPr>
            <b/>
            <sz val="9"/>
            <color indexed="81"/>
            <rFont val="Segoe UI"/>
            <family val="2"/>
          </rPr>
          <t>Normal 1
Bei Erschwernis bis 3</t>
        </r>
        <r>
          <rPr>
            <sz val="9"/>
            <color indexed="81"/>
            <rFont val="Segoe UI"/>
            <family val="2"/>
          </rPr>
          <t xml:space="preserve">
</t>
        </r>
      </text>
    </comment>
    <comment ref="D19" authorId="0" shapeId="0" xr:uid="{AFCA385E-0A2D-459C-A4A6-071C08B8CC26}">
      <text>
        <r>
          <rPr>
            <b/>
            <sz val="9"/>
            <color indexed="81"/>
            <rFont val="Segoe UI"/>
            <family val="2"/>
          </rPr>
          <t>ggf.: Ohne Einbehalt</t>
        </r>
        <r>
          <rPr>
            <sz val="9"/>
            <color indexed="81"/>
            <rFont val="Segoe UI"/>
            <family val="2"/>
          </rPr>
          <t xml:space="preserve">
</t>
        </r>
      </text>
    </comment>
    <comment ref="F20" authorId="0" shapeId="0" xr:uid="{65CC3F06-7CC0-465C-B708-734F574E0D16}">
      <text>
        <r>
          <rPr>
            <b/>
            <sz val="9"/>
            <color indexed="81"/>
            <rFont val="Segoe UI"/>
            <family val="2"/>
          </rPr>
          <t>Normal 1
Bei Erschwernis bis 3</t>
        </r>
        <r>
          <rPr>
            <sz val="9"/>
            <color indexed="81"/>
            <rFont val="Segoe UI"/>
            <family val="2"/>
          </rPr>
          <t xml:space="preserve">
</t>
        </r>
      </text>
    </comment>
    <comment ref="D21" authorId="0" shapeId="0" xr:uid="{41C97AD3-61A6-4BEA-A490-9CA6D49D9BBE}">
      <text>
        <r>
          <rPr>
            <b/>
            <sz val="9"/>
            <color indexed="81"/>
            <rFont val="Segoe UI"/>
            <family val="2"/>
          </rPr>
          <t>ggf.: Ohne Einbehalt</t>
        </r>
        <r>
          <rPr>
            <sz val="9"/>
            <color indexed="81"/>
            <rFont val="Segoe UI"/>
            <family val="2"/>
          </rPr>
          <t xml:space="preserve">
</t>
        </r>
      </text>
    </comment>
    <comment ref="F22" authorId="0" shapeId="0" xr:uid="{E9A4EFA7-FAB7-4DAB-9ADF-DA07E5567F3E}">
      <text>
        <r>
          <rPr>
            <b/>
            <sz val="9"/>
            <color indexed="81"/>
            <rFont val="Segoe UI"/>
            <family val="2"/>
          </rPr>
          <t>Normal 1
Bei Erschwernis bis 3</t>
        </r>
        <r>
          <rPr>
            <sz val="9"/>
            <color indexed="81"/>
            <rFont val="Segoe UI"/>
            <family val="2"/>
          </rPr>
          <t xml:space="preserve">
</t>
        </r>
      </text>
    </comment>
    <comment ref="D23" authorId="0" shapeId="0" xr:uid="{F26A072C-2693-4577-BC13-2F4328FB3CCC}">
      <text>
        <r>
          <rPr>
            <b/>
            <sz val="9"/>
            <color indexed="81"/>
            <rFont val="Segoe UI"/>
            <family val="2"/>
          </rPr>
          <t>ggf.: Ohne Einbehalt</t>
        </r>
        <r>
          <rPr>
            <sz val="9"/>
            <color indexed="81"/>
            <rFont val="Segoe UI"/>
            <family val="2"/>
          </rPr>
          <t xml:space="preserve">
</t>
        </r>
      </text>
    </comment>
    <comment ref="C24" authorId="0" shapeId="0" xr:uid="{33DC98DE-386B-4229-B661-33F1ACF4B93A}">
      <text>
        <r>
          <rPr>
            <b/>
            <sz val="9"/>
            <color indexed="81"/>
            <rFont val="Segoe UI"/>
            <family val="2"/>
          </rPr>
          <t>höchstens 100,00€</t>
        </r>
        <r>
          <rPr>
            <sz val="9"/>
            <color indexed="81"/>
            <rFont val="Segoe UI"/>
            <family val="2"/>
          </rPr>
          <t xml:space="preserve">
</t>
        </r>
      </text>
    </comment>
    <comment ref="F24" authorId="0" shapeId="0" xr:uid="{A24ACEE9-51D2-40D7-9B23-7763B38B4BF6}">
      <text>
        <r>
          <rPr>
            <b/>
            <sz val="9"/>
            <color indexed="81"/>
            <rFont val="Segoe UI"/>
            <family val="2"/>
          </rPr>
          <t>Normal 1
Bei Erschwernis bis 3</t>
        </r>
        <r>
          <rPr>
            <sz val="9"/>
            <color indexed="81"/>
            <rFont val="Segoe UI"/>
            <family val="2"/>
          </rPr>
          <t xml:space="preserve">
</t>
        </r>
      </text>
    </comment>
    <comment ref="C45" authorId="0" shapeId="0" xr:uid="{8CD6AB5B-7609-4A6E-AEED-3E43FD5B6606}">
      <text>
        <r>
          <rPr>
            <b/>
            <sz val="9"/>
            <color indexed="81"/>
            <rFont val="Segoe UI"/>
            <family val="2"/>
          </rPr>
          <t>Ggf. Baumumfang in 1,30m Höhe angeben</t>
        </r>
        <r>
          <rPr>
            <sz val="9"/>
            <color indexed="81"/>
            <rFont val="Segoe UI"/>
            <family val="2"/>
          </rPr>
          <t xml:space="preserve">
</t>
        </r>
      </text>
    </comment>
    <comment ref="C46" authorId="0" shapeId="0" xr:uid="{6693476F-D12B-46E2-A18E-4469C2E9DF71}">
      <text>
        <r>
          <rPr>
            <b/>
            <sz val="9"/>
            <color indexed="81"/>
            <rFont val="Segoe UI"/>
            <family val="2"/>
          </rPr>
          <t>Ggf. Baumumfang in 1,30m Höhe angeben</t>
        </r>
        <r>
          <rPr>
            <sz val="9"/>
            <color indexed="81"/>
            <rFont val="Segoe UI"/>
            <family val="2"/>
          </rPr>
          <t xml:space="preserve">
</t>
        </r>
      </text>
    </comment>
    <comment ref="E49" authorId="0" shapeId="0" xr:uid="{62EC0D96-6DCF-4441-99EF-CFFA8B9892BA}">
      <text>
        <r>
          <rPr>
            <b/>
            <sz val="9"/>
            <color indexed="81"/>
            <rFont val="Segoe UI"/>
            <family val="2"/>
          </rPr>
          <t>Eintrag etwa 
fehlt, gering oder ähnlich</t>
        </r>
      </text>
    </comment>
    <comment ref="B70" authorId="0" shapeId="0" xr:uid="{CB40132C-1029-4CCF-A254-ABD9AB8AE9BE}">
      <text>
        <r>
          <rPr>
            <b/>
            <sz val="9"/>
            <color indexed="81"/>
            <rFont val="Segoe UI"/>
            <family val="2"/>
          </rPr>
          <t>Bitte unter der Begründung angeben wo sich der Schutt … befindet!</t>
        </r>
        <r>
          <rPr>
            <sz val="9"/>
            <color indexed="81"/>
            <rFont val="Segoe UI"/>
            <family val="2"/>
          </rPr>
          <t xml:space="preserve">
</t>
        </r>
      </text>
    </comment>
    <comment ref="B74" authorId="0" shapeId="0" xr:uid="{295B232A-A7D0-4949-835D-D763211AAF02}">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5" authorId="0" shapeId="0" xr:uid="{AE17BFA9-7AA5-403E-B524-11BBC01FC175}">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81" authorId="0" shapeId="0" xr:uid="{2A115180-CA61-4000-83B7-0010A404F04E}">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6" authorId="0" shapeId="0" xr:uid="{8EDC0023-7613-4D1E-AACE-69F6554B5D59}">
      <text>
        <r>
          <rPr>
            <b/>
            <sz val="9"/>
            <color indexed="81"/>
            <rFont val="Segoe UI"/>
            <family val="2"/>
          </rPr>
          <t>Zahl der m³ eingeben</t>
        </r>
        <r>
          <rPr>
            <sz val="9"/>
            <color indexed="81"/>
            <rFont val="Segoe UI"/>
            <family val="2"/>
          </rPr>
          <t xml:space="preserve">
</t>
        </r>
      </text>
    </comment>
    <comment ref="G96" authorId="0" shapeId="0" xr:uid="{44F2B64E-7C65-45B2-AF10-850C3B2197CF}">
      <text>
        <r>
          <rPr>
            <b/>
            <sz val="9"/>
            <color indexed="81"/>
            <rFont val="Segoe UI"/>
            <family val="2"/>
          </rPr>
          <t xml:space="preserve">Richtwert 
100,00 €/m³ </t>
        </r>
        <r>
          <rPr>
            <sz val="9"/>
            <color indexed="81"/>
            <rFont val="Segoe UI"/>
            <family val="2"/>
          </rPr>
          <t xml:space="preserve">
</t>
        </r>
      </text>
    </comment>
    <comment ref="E108" authorId="0" shapeId="0" xr:uid="{798761D3-3DF7-4A25-B854-C7618B57AB0C}">
      <text>
        <r>
          <rPr>
            <sz val="9"/>
            <color indexed="81"/>
            <rFont val="Segoe UI"/>
            <family val="2"/>
          </rPr>
          <t xml:space="preserve">nnerhalb von 6 Monaten
</t>
        </r>
      </text>
    </comment>
    <comment ref="B116" authorId="0" shapeId="0" xr:uid="{57BBF77C-B802-49C5-90C9-0750F309F410}">
      <text>
        <r>
          <rPr>
            <b/>
            <sz val="9"/>
            <color indexed="81"/>
            <rFont val="Segoe UI"/>
            <family val="2"/>
          </rPr>
          <t>Autotext
a) =Sandwiesen
b) =Rohrbruchwiesen
c) =wasserlos
d) =Frischwasseranschluss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EA58B415-CD09-49DE-9423-78DA106AE5AC}">
      <text>
        <r>
          <rPr>
            <b/>
            <sz val="9"/>
            <color indexed="81"/>
            <rFont val="Segoe UI"/>
            <family val="2"/>
          </rPr>
          <t>ggf.: Ohne Einbehalt</t>
        </r>
        <r>
          <rPr>
            <sz val="9"/>
            <color indexed="81"/>
            <rFont val="Segoe UI"/>
            <family val="2"/>
          </rPr>
          <t xml:space="preserve">
</t>
        </r>
      </text>
    </comment>
    <comment ref="F18" authorId="0" shapeId="0" xr:uid="{A6A207B0-3912-400A-83DD-791FF021ACC2}">
      <text>
        <r>
          <rPr>
            <b/>
            <sz val="9"/>
            <color indexed="81"/>
            <rFont val="Segoe UI"/>
            <family val="2"/>
          </rPr>
          <t>Normal 1
Bei Erschwernis bis 3</t>
        </r>
        <r>
          <rPr>
            <sz val="9"/>
            <color indexed="81"/>
            <rFont val="Segoe UI"/>
            <family val="2"/>
          </rPr>
          <t xml:space="preserve">
</t>
        </r>
      </text>
    </comment>
    <comment ref="D19" authorId="0" shapeId="0" xr:uid="{B9690D5F-FBD1-41A4-B696-D43CEBBDAA94}">
      <text>
        <r>
          <rPr>
            <b/>
            <sz val="9"/>
            <color indexed="81"/>
            <rFont val="Segoe UI"/>
            <family val="2"/>
          </rPr>
          <t>ggf.: Ohne Einbehalt</t>
        </r>
        <r>
          <rPr>
            <sz val="9"/>
            <color indexed="81"/>
            <rFont val="Segoe UI"/>
            <family val="2"/>
          </rPr>
          <t xml:space="preserve">
</t>
        </r>
      </text>
    </comment>
    <comment ref="F20" authorId="0" shapeId="0" xr:uid="{64E975DF-ED4B-4372-A0D7-D1EB687AF46D}">
      <text>
        <r>
          <rPr>
            <b/>
            <sz val="9"/>
            <color indexed="81"/>
            <rFont val="Segoe UI"/>
            <family val="2"/>
          </rPr>
          <t>Normal 1
Bei Erschwernis bis 3</t>
        </r>
        <r>
          <rPr>
            <sz val="9"/>
            <color indexed="81"/>
            <rFont val="Segoe UI"/>
            <family val="2"/>
          </rPr>
          <t xml:space="preserve">
</t>
        </r>
      </text>
    </comment>
    <comment ref="D21" authorId="0" shapeId="0" xr:uid="{19C95A71-18C8-4897-9484-02327E080CA5}">
      <text>
        <r>
          <rPr>
            <b/>
            <sz val="9"/>
            <color indexed="81"/>
            <rFont val="Segoe UI"/>
            <family val="2"/>
          </rPr>
          <t>ggf.: Ohne Einbehalt</t>
        </r>
        <r>
          <rPr>
            <sz val="9"/>
            <color indexed="81"/>
            <rFont val="Segoe UI"/>
            <family val="2"/>
          </rPr>
          <t xml:space="preserve">
</t>
        </r>
      </text>
    </comment>
    <comment ref="F22" authorId="0" shapeId="0" xr:uid="{A4264B99-53E5-48AC-92D9-09BF1DE4F6C7}">
      <text>
        <r>
          <rPr>
            <b/>
            <sz val="9"/>
            <color indexed="81"/>
            <rFont val="Segoe UI"/>
            <family val="2"/>
          </rPr>
          <t>Normal 1
Bei Erschwernis bis 3</t>
        </r>
        <r>
          <rPr>
            <sz val="9"/>
            <color indexed="81"/>
            <rFont val="Segoe UI"/>
            <family val="2"/>
          </rPr>
          <t xml:space="preserve">
</t>
        </r>
      </text>
    </comment>
    <comment ref="D23" authorId="0" shapeId="0" xr:uid="{CA7D08BB-B797-4038-A7AF-825134F0A3B9}">
      <text>
        <r>
          <rPr>
            <b/>
            <sz val="9"/>
            <color indexed="81"/>
            <rFont val="Segoe UI"/>
            <family val="2"/>
          </rPr>
          <t>ggf.: Ohne Einbehalt</t>
        </r>
        <r>
          <rPr>
            <sz val="9"/>
            <color indexed="81"/>
            <rFont val="Segoe UI"/>
            <family val="2"/>
          </rPr>
          <t xml:space="preserve">
</t>
        </r>
      </text>
    </comment>
    <comment ref="C24" authorId="0" shapeId="0" xr:uid="{8B994FA6-D8C2-4920-ABE5-EC9C732F8954}">
      <text>
        <r>
          <rPr>
            <b/>
            <sz val="9"/>
            <color indexed="81"/>
            <rFont val="Segoe UI"/>
            <family val="2"/>
          </rPr>
          <t>höchstens 100,00€</t>
        </r>
        <r>
          <rPr>
            <sz val="9"/>
            <color indexed="81"/>
            <rFont val="Segoe UI"/>
            <family val="2"/>
          </rPr>
          <t xml:space="preserve">
</t>
        </r>
      </text>
    </comment>
    <comment ref="F24" authorId="0" shapeId="0" xr:uid="{82124A21-6BB4-4422-AA69-85A0384DE0D0}">
      <text>
        <r>
          <rPr>
            <b/>
            <sz val="9"/>
            <color indexed="81"/>
            <rFont val="Segoe UI"/>
            <family val="2"/>
          </rPr>
          <t>Normal 1
Bei Erschwernis bis 3</t>
        </r>
        <r>
          <rPr>
            <sz val="9"/>
            <color indexed="81"/>
            <rFont val="Segoe UI"/>
            <family val="2"/>
          </rPr>
          <t xml:space="preserve">
</t>
        </r>
      </text>
    </comment>
    <comment ref="C42" authorId="0" shapeId="0" xr:uid="{9B6E7843-5EF7-4069-BDBD-68701871A65F}">
      <text>
        <r>
          <rPr>
            <b/>
            <sz val="9"/>
            <color indexed="81"/>
            <rFont val="Segoe UI"/>
            <family val="2"/>
          </rPr>
          <t>Ggf. Baumumfang in 1,30m Höhe angeben</t>
        </r>
        <r>
          <rPr>
            <sz val="9"/>
            <color indexed="81"/>
            <rFont val="Segoe UI"/>
            <family val="2"/>
          </rPr>
          <t xml:space="preserve">
</t>
        </r>
      </text>
    </comment>
    <comment ref="C43" authorId="0" shapeId="0" xr:uid="{308C612C-F50A-4281-B8A3-AF46EEF1BD1E}">
      <text>
        <r>
          <rPr>
            <b/>
            <sz val="9"/>
            <color indexed="81"/>
            <rFont val="Segoe UI"/>
            <family val="2"/>
          </rPr>
          <t>Ggf. Baumumfang in 1,30m Höhe angeben</t>
        </r>
        <r>
          <rPr>
            <sz val="9"/>
            <color indexed="81"/>
            <rFont val="Segoe UI"/>
            <family val="2"/>
          </rPr>
          <t xml:space="preserve">
</t>
        </r>
      </text>
    </comment>
    <comment ref="E46" authorId="0" shapeId="0" xr:uid="{131F401A-69AF-4146-8CF8-023FBD0B995D}">
      <text>
        <r>
          <rPr>
            <b/>
            <sz val="9"/>
            <color indexed="81"/>
            <rFont val="Segoe UI"/>
            <family val="2"/>
          </rPr>
          <t>Eintrag etwa 
fehlt, gering oder ähnlich</t>
        </r>
      </text>
    </comment>
    <comment ref="B67" authorId="0" shapeId="0" xr:uid="{B10FB7C9-431D-40A3-9871-2278B888E1BD}">
      <text>
        <r>
          <rPr>
            <b/>
            <sz val="9"/>
            <color indexed="81"/>
            <rFont val="Segoe UI"/>
            <family val="2"/>
          </rPr>
          <t>Bitte unter der Begründung angeben wo sich der Schutt … befindet!</t>
        </r>
        <r>
          <rPr>
            <sz val="9"/>
            <color indexed="81"/>
            <rFont val="Segoe UI"/>
            <family val="2"/>
          </rPr>
          <t xml:space="preserve">
</t>
        </r>
      </text>
    </comment>
    <comment ref="B71" authorId="0" shapeId="0" xr:uid="{2800EE53-CA1D-4F83-96EC-D0F7AAB947B7}">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2" authorId="0" shapeId="0" xr:uid="{C5BAAA7B-9F6B-4758-9ACF-FC065A69FE91}">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8" authorId="0" shapeId="0" xr:uid="{ACBECBD9-7578-4BEE-A792-C19C3DF378B6}">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3" authorId="0" shapeId="0" xr:uid="{8C37D024-E1A0-4548-8F6C-10BAE4B21575}">
      <text>
        <r>
          <rPr>
            <b/>
            <sz val="9"/>
            <color indexed="81"/>
            <rFont val="Segoe UI"/>
            <family val="2"/>
          </rPr>
          <t>Zahl der m³ eingeben</t>
        </r>
        <r>
          <rPr>
            <sz val="9"/>
            <color indexed="81"/>
            <rFont val="Segoe UI"/>
            <family val="2"/>
          </rPr>
          <t xml:space="preserve">
</t>
        </r>
      </text>
    </comment>
    <comment ref="G93" authorId="0" shapeId="0" xr:uid="{48C6ADBD-64CA-46F6-86F7-9EFD3B5D1059}">
      <text>
        <r>
          <rPr>
            <b/>
            <sz val="9"/>
            <color indexed="81"/>
            <rFont val="Segoe UI"/>
            <family val="2"/>
          </rPr>
          <t xml:space="preserve">Richtwert 
100,00 €/m³ </t>
        </r>
        <r>
          <rPr>
            <sz val="9"/>
            <color indexed="81"/>
            <rFont val="Segoe UI"/>
            <family val="2"/>
          </rPr>
          <t xml:space="preserve">
</t>
        </r>
      </text>
    </comment>
    <comment ref="E105" authorId="0" shapeId="0" xr:uid="{C9A674ED-05A0-4B1E-9A4C-EEEB95E1A4E0}">
      <text>
        <r>
          <rPr>
            <sz val="9"/>
            <color indexed="81"/>
            <rFont val="Segoe UI"/>
            <family val="2"/>
          </rPr>
          <t xml:space="preserve">nnerhalb von 6 Monaten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81" authorId="0" shapeId="0" xr:uid="{CAFC7C02-0CCC-4623-9549-8B8C9D192FB2}">
      <text>
        <r>
          <rPr>
            <b/>
            <sz val="9"/>
            <color indexed="81"/>
            <rFont val="Segoe UI"/>
            <family val="2"/>
          </rPr>
          <t>user:</t>
        </r>
        <r>
          <rPr>
            <sz val="9"/>
            <color indexed="81"/>
            <rFont val="Segoe UI"/>
            <family val="2"/>
          </rPr>
          <t xml:space="preserve">
</t>
        </r>
      </text>
    </comment>
  </commentList>
</comments>
</file>

<file path=xl/sharedStrings.xml><?xml version="1.0" encoding="utf-8"?>
<sst xmlns="http://schemas.openxmlformats.org/spreadsheetml/2006/main" count="1136" uniqueCount="646">
  <si>
    <t>Name des Unterpächters:</t>
  </si>
  <si>
    <t>Kleingartenanlage:</t>
  </si>
  <si>
    <t>für den Unterpächter:</t>
  </si>
  <si>
    <t>Parz.Nr.:</t>
  </si>
  <si>
    <t>Bauklasse:</t>
  </si>
  <si>
    <t>BT:</t>
  </si>
  <si>
    <t>NHK/m²:</t>
  </si>
  <si>
    <t>Restnutzungsjahre</t>
  </si>
  <si>
    <t>X</t>
  </si>
  <si>
    <t>=</t>
  </si>
  <si>
    <t>BT</t>
  </si>
  <si>
    <t>1. Laube</t>
  </si>
  <si>
    <t>Übertrag:</t>
  </si>
  <si>
    <t>(1/100 Baupreisindex)</t>
  </si>
  <si>
    <t>NHK/m²</t>
  </si>
  <si>
    <t xml:space="preserve">2.3. Überdachter Laubenvorplatz </t>
  </si>
  <si>
    <t>abzüglich</t>
  </si>
  <si>
    <t>m² x</t>
  </si>
  <si>
    <t>x</t>
  </si>
  <si>
    <t>3. Abwasser</t>
  </si>
  <si>
    <t>3.1.</t>
  </si>
  <si>
    <t>ggf.Nr:</t>
  </si>
  <si>
    <t xml:space="preserve">Jahre    </t>
  </si>
  <si>
    <t>Grundwert</t>
  </si>
  <si>
    <t>./.</t>
  </si>
  <si>
    <t>Altersabzug</t>
  </si>
  <si>
    <t>m³  =</t>
  </si>
  <si>
    <t>Alter</t>
  </si>
  <si>
    <t>Dichtheitsgutachten vom</t>
  </si>
  <si>
    <t>3.2.</t>
  </si>
  <si>
    <t>Abwasserkanal</t>
  </si>
  <si>
    <t>erstellt</t>
  </si>
  <si>
    <t>Kosten</t>
  </si>
  <si>
    <t>Baulichkeiten insgesamt:</t>
  </si>
  <si>
    <t xml:space="preserve">Berlin, den </t>
  </si>
  <si>
    <t xml:space="preserve"> BT</t>
  </si>
  <si>
    <t xml:space="preserve"> = Normalherstellungskosten pro m²  </t>
  </si>
  <si>
    <t>Abzug nach Tabelle</t>
  </si>
  <si>
    <t xml:space="preserve"> = Bauteil</t>
  </si>
  <si>
    <t>Restnutzungstabelle</t>
  </si>
  <si>
    <t>I</t>
  </si>
  <si>
    <t>II</t>
  </si>
  <si>
    <t>III</t>
  </si>
  <si>
    <t>IV</t>
  </si>
  <si>
    <t>Bauklasse</t>
  </si>
  <si>
    <t>Richtwert</t>
  </si>
  <si>
    <t>Abriss</t>
  </si>
  <si>
    <t>Spalte</t>
  </si>
  <si>
    <t>Hinweise:</t>
  </si>
  <si>
    <t>/m³  x</t>
  </si>
  <si>
    <t>Formalien</t>
  </si>
  <si>
    <t>Kleingartenanlage</t>
  </si>
  <si>
    <t>Parzelle</t>
  </si>
  <si>
    <t>Unterpächter</t>
  </si>
  <si>
    <t>anwesend</t>
  </si>
  <si>
    <t>für den Unterpächter</t>
  </si>
  <si>
    <t>Parzellenfläche lt. Vertrag</t>
  </si>
  <si>
    <t>Mängel</t>
  </si>
  <si>
    <t>Datum:</t>
  </si>
  <si>
    <t>Entschädigungswert</t>
  </si>
  <si>
    <t>An- zahl</t>
  </si>
  <si>
    <t xml:space="preserve">m² </t>
  </si>
  <si>
    <t>Gesamt</t>
  </si>
  <si>
    <t>Einzel</t>
  </si>
  <si>
    <t>Maß- einheit</t>
  </si>
  <si>
    <t>Parzellenfläche lt. Vertrag:</t>
  </si>
  <si>
    <t>Unterpächter:</t>
  </si>
  <si>
    <t>Parz.Nr.</t>
  </si>
  <si>
    <t>Lt. UP-Vertrag Baulichkeiten von</t>
  </si>
  <si>
    <t>m² übernommen</t>
  </si>
  <si>
    <t>Abrißanordnungen und Auflagen für den neuen Unterpächter und etwaiger</t>
  </si>
  <si>
    <t xml:space="preserve">Einbehalt für Entfernung von nicht gestatteten baulichen Anlagen, Abfällen </t>
  </si>
  <si>
    <t>und nicht zulässigen bzw. nutzbaren Bepflanzungen.</t>
  </si>
  <si>
    <t>1.</t>
  </si>
  <si>
    <t>1.1. Bauteil</t>
  </si>
  <si>
    <t>zu</t>
  </si>
  <si>
    <t>1.2. Bauteil</t>
  </si>
  <si>
    <t>1.3. Bauteil</t>
  </si>
  <si>
    <t>1.4. Bauteil</t>
  </si>
  <si>
    <t>m²</t>
  </si>
  <si>
    <t>1.5.</t>
  </si>
  <si>
    <t>2.</t>
  </si>
  <si>
    <t>2.1.</t>
  </si>
  <si>
    <t>2.2.</t>
  </si>
  <si>
    <t>2.3.</t>
  </si>
  <si>
    <t>2.4.</t>
  </si>
  <si>
    <t>2.6.</t>
  </si>
  <si>
    <r>
      <t xml:space="preserve">In der Zeit vom 1.März bis zum 30.September sollten aus Gründen des Naturschutzes insbesondere des Vogelschutzes keine </t>
    </r>
    <r>
      <rPr>
        <b/>
        <sz val="8"/>
        <rFont val="Arial"/>
        <family val="2"/>
      </rPr>
      <t>Bäume</t>
    </r>
    <r>
      <rPr>
        <sz val="8"/>
        <rFont val="Arial"/>
        <family val="2"/>
      </rPr>
      <t xml:space="preserve">  sowie keine </t>
    </r>
    <r>
      <rPr>
        <b/>
        <sz val="8"/>
        <rFont val="Arial"/>
        <family val="2"/>
      </rPr>
      <t>größeren Gehölze</t>
    </r>
    <r>
      <rPr>
        <sz val="8"/>
        <rFont val="Arial"/>
        <family val="2"/>
      </rPr>
      <t xml:space="preserve"> entfernt und/oder beschnitten werden. Bei Fäll- und Schnittmaßnahmen ist besonders darauf zu achten, dass brütende Vögel nicht gestört werden. Auf das Bundesnaturschutzgesetz und auf die Baumschutzverordnung Berlin in ihren jeweils geltenden Fassungen wird hingewiesen.</t>
    </r>
    <r>
      <rPr>
        <b/>
        <sz val="8"/>
        <rFont val="Arial"/>
        <family val="2"/>
      </rPr>
      <t xml:space="preserve"> Hecken</t>
    </r>
    <r>
      <rPr>
        <sz val="8"/>
        <rFont val="Arial"/>
        <family val="2"/>
      </rPr>
      <t xml:space="preserve"> auf und an der Parzelle sind grundsätzlich ganzjährig auf eine Höhe von 1,25m zu halten.</t>
    </r>
  </si>
  <si>
    <t>Summe Blatt 1 A:</t>
  </si>
  <si>
    <t>Übertrag Anlage IV (Blatt 1 A) 1. - 3. :</t>
  </si>
  <si>
    <t>3.</t>
  </si>
  <si>
    <t>3.3.</t>
  </si>
  <si>
    <t>3.4.</t>
  </si>
  <si>
    <t>4.</t>
  </si>
  <si>
    <t>Die neuen Unterpächter sind verpflichtet, von einem etwa vorhandenen zweiflügeligen Tor die eine</t>
  </si>
  <si>
    <t>Torhälfte zu befestigen bzw. einflüglig zu setzen und ggf. den Zaun zu begradigen.</t>
  </si>
  <si>
    <t xml:space="preserve">Ist eine zweite Gartenpforte vorhanden, ist das Tor vollständig dauerhaft zu verschließen. </t>
  </si>
  <si>
    <r>
      <t xml:space="preserve">Das Abstellen von Kraftfahrzeugen auf der Parzelle ist nicht zulässig. </t>
    </r>
    <r>
      <rPr>
        <sz val="8"/>
        <rFont val="Arial"/>
        <family val="2"/>
      </rPr>
      <t>(Ziffer 21 der Gartenordnung)</t>
    </r>
  </si>
  <si>
    <t>5.</t>
  </si>
  <si>
    <t>Etwa vorhandene Schornsteine sind still zu legen, etwa vorhandene offene Feuerstellen</t>
  </si>
  <si>
    <r>
      <rPr>
        <sz val="8"/>
        <rFont val="Arial"/>
        <family val="2"/>
      </rPr>
      <t>(Herde, Öfen, Kamine, Öl- oder Gasheizungsanlagen)</t>
    </r>
    <r>
      <rPr>
        <sz val="10"/>
        <rFont val="Arial"/>
        <family val="2"/>
      </rPr>
      <t xml:space="preserve"> </t>
    </r>
    <r>
      <rPr>
        <b/>
        <sz val="10"/>
        <rFont val="Arial"/>
        <family val="2"/>
      </rPr>
      <t>sind zu entfernen.</t>
    </r>
    <r>
      <rPr>
        <sz val="10"/>
        <rFont val="Arial"/>
        <family val="2"/>
      </rPr>
      <t xml:space="preserve">     </t>
    </r>
  </si>
  <si>
    <t>6.</t>
  </si>
  <si>
    <t>lag nicht vor</t>
  </si>
  <si>
    <t>9.</t>
  </si>
  <si>
    <t>9.a</t>
  </si>
  <si>
    <t>10.</t>
  </si>
  <si>
    <t xml:space="preserve">Die neuen Unterpächter tragen die Verkehrssicherungspflicht und  die Kosten des Unterhalts </t>
  </si>
  <si>
    <t xml:space="preserve"> und einer etwaigen Entfernung eines unter Baumschutz stehenden Aufwuchses.</t>
  </si>
  <si>
    <t>Auf die Vorschriften der Berliner Baumschutzverordnung wird hingewiesen.</t>
  </si>
  <si>
    <t>11.</t>
  </si>
  <si>
    <t>/</t>
  </si>
  <si>
    <t>Bezirksverband d.Vorstand:</t>
  </si>
  <si>
    <t>Die Abwassersammelgrube ist mit</t>
  </si>
  <si>
    <t>*) zu entschädigen, wenn der schei-</t>
  </si>
  <si>
    <t>*) Alter</t>
  </si>
  <si>
    <t xml:space="preserve">pro m³ </t>
  </si>
  <si>
    <t>Parzellen Nr.:</t>
  </si>
  <si>
    <t>Anwesend waren:</t>
  </si>
  <si>
    <t>Für den Unterpächter:</t>
  </si>
  <si>
    <t>(einschließlich Abwasseranlage)</t>
  </si>
  <si>
    <t>Wertermittler</t>
  </si>
  <si>
    <t>Wertermittler:</t>
  </si>
  <si>
    <t>Baujahr:</t>
  </si>
  <si>
    <t>Anl4 normal</t>
  </si>
  <si>
    <t>Wertermittlung bei Unterpächterwechsel</t>
  </si>
  <si>
    <t>Feuchtigkeitsflecken</t>
  </si>
  <si>
    <t>Rohbaumauerwerk</t>
  </si>
  <si>
    <t>Hohlstellen im Putz</t>
  </si>
  <si>
    <t>Setzungen</t>
  </si>
  <si>
    <t>Fundament</t>
  </si>
  <si>
    <t>Bauelemente</t>
  </si>
  <si>
    <t>Einbruchsschäden</t>
  </si>
  <si>
    <t>Asbest</t>
  </si>
  <si>
    <t>Dachpappe</t>
  </si>
  <si>
    <t>Laube nicht beräumt</t>
  </si>
  <si>
    <t>Ergebnisse der Wertermittlung:</t>
  </si>
  <si>
    <r>
      <t>Anlage IV (Blatt 1 )</t>
    </r>
    <r>
      <rPr>
        <b/>
        <sz val="8"/>
        <rFont val="Arial"/>
        <family val="2"/>
      </rPr>
      <t xml:space="preserve">  Kleingartenanlage: </t>
    </r>
  </si>
  <si>
    <t>Anlage IV (Blatt 2)</t>
  </si>
  <si>
    <t>Anlage IV (Blatt3)</t>
  </si>
  <si>
    <t>Für den Kolonieverein:</t>
  </si>
  <si>
    <t>Altersminderung pro Jahr:</t>
  </si>
  <si>
    <t>Mängel   =</t>
  </si>
  <si>
    <t>a) integriert</t>
  </si>
  <si>
    <t>b) angebaut</t>
  </si>
  <si>
    <t>zu 3. der Anlage I und zu 9. der Anlage IV zur Wertermittlung vom</t>
  </si>
  <si>
    <t>Wertermittlung am:</t>
  </si>
  <si>
    <t>Wertermittlung im Auftrag</t>
  </si>
  <si>
    <t>Auftraggeber:</t>
  </si>
  <si>
    <t>vertreten durch Rechtsanwalt</t>
  </si>
  <si>
    <t>vertreten durch Rechtsanwalt:</t>
  </si>
  <si>
    <t>Für den Auftraggeber:</t>
  </si>
  <si>
    <t>für den Auftraggeber</t>
  </si>
  <si>
    <t>Auftraggeber</t>
  </si>
  <si>
    <t>f</t>
  </si>
  <si>
    <t>BKL.Beschreibung</t>
  </si>
  <si>
    <t>Satteldach ab 3,50m Firsthöhe</t>
  </si>
  <si>
    <t xml:space="preserve">NHK/m² </t>
  </si>
  <si>
    <t>II+III</t>
  </si>
  <si>
    <t>Wert BT</t>
  </si>
  <si>
    <t>I.1</t>
  </si>
  <si>
    <t>I.2</t>
  </si>
  <si>
    <t>I.3</t>
  </si>
  <si>
    <t>II.1</t>
  </si>
  <si>
    <t>II.3</t>
  </si>
  <si>
    <t>III.1</t>
  </si>
  <si>
    <t>III.2</t>
  </si>
  <si>
    <t>III.3</t>
  </si>
  <si>
    <t>IV.1</t>
  </si>
  <si>
    <t>IV.2</t>
  </si>
  <si>
    <t>IV.3</t>
  </si>
  <si>
    <t>Text</t>
  </si>
  <si>
    <t>text</t>
  </si>
  <si>
    <t>Altersminderung Nebenanlagen</t>
  </si>
  <si>
    <t xml:space="preserve">/m³ </t>
  </si>
  <si>
    <t>Wertermittlung</t>
  </si>
  <si>
    <t>Altersminderung/Jahr:</t>
  </si>
  <si>
    <t>Laube</t>
  </si>
  <si>
    <t>8.a</t>
  </si>
  <si>
    <t>8.b</t>
  </si>
  <si>
    <r>
      <rPr>
        <sz val="8"/>
        <rFont val="Arial"/>
        <family val="2"/>
      </rPr>
      <t>*)</t>
    </r>
    <r>
      <rPr>
        <b/>
        <sz val="8"/>
        <rFont val="Arial"/>
        <family val="2"/>
      </rPr>
      <t xml:space="preserve"> Dach, gesamtes Gerüst, Seitenwände und Balustraden. Der Terrassenboden nur, wenn ausdrücklich angeordnet.</t>
    </r>
  </si>
  <si>
    <t xml:space="preserve"> höchstens</t>
  </si>
  <si>
    <t xml:space="preserve">abzüglich </t>
  </si>
  <si>
    <t>(3%/Jahr)</t>
  </si>
  <si>
    <t>% Alter ca.:</t>
  </si>
  <si>
    <t>%        Alter ca.:</t>
  </si>
  <si>
    <t xml:space="preserve">m² *) X </t>
  </si>
  <si>
    <t>*) zulässig überbaute Fläche (siehe Massenberechnung)</t>
  </si>
  <si>
    <t>2.5.</t>
  </si>
  <si>
    <t xml:space="preserve">% Altersabzug       </t>
  </si>
  <si>
    <t>3.5.</t>
  </si>
  <si>
    <t>3.6.</t>
  </si>
  <si>
    <t>3.7.</t>
  </si>
  <si>
    <t>3.8.</t>
  </si>
  <si>
    <t>2.7.</t>
  </si>
  <si>
    <t>2.8.</t>
  </si>
  <si>
    <t>Zu entfernender Aufwuchs einschl. Baumstumpf bzw. Wurzelballen gemäß Anlage III</t>
  </si>
  <si>
    <t>Zu entfernende Aussenanlagen gemäß Anlage II</t>
  </si>
  <si>
    <t>Altersabzug        =</t>
  </si>
  <si>
    <t>Der Berechnung zugrunde gelegter Baupreisindex (2015 = 100):</t>
  </si>
  <si>
    <t>8.c</t>
  </si>
  <si>
    <t>"RN2020"</t>
  </si>
  <si>
    <t>nur teilweise</t>
  </si>
  <si>
    <t>Die Anlage wurde nicht geprüft. Die Entschädigung erfolgt nur dann, wenn der neue Unterpächter die Ordnungsmäßigkeit der Anlage bei Übergabe schriftlich bestätigt.</t>
  </si>
  <si>
    <t>3.9.</t>
  </si>
  <si>
    <t>3.10.</t>
  </si>
  <si>
    <t>ausreichend</t>
  </si>
  <si>
    <t>fehlt ganz</t>
  </si>
  <si>
    <t xml:space="preserve">Kleingärtnerische Nutzung </t>
  </si>
  <si>
    <t>Anlage II</t>
  </si>
  <si>
    <t>F39</t>
  </si>
  <si>
    <t>ungeprüft</t>
  </si>
  <si>
    <t>Jahre</t>
  </si>
  <si>
    <t>Alter:</t>
  </si>
  <si>
    <t xml:space="preserve">Stein 17,50 bis 23,99 cm </t>
  </si>
  <si>
    <t>Stein ab 36,00 cm</t>
  </si>
  <si>
    <t>Stein 10,00 bis 12,00 cm</t>
  </si>
  <si>
    <t>Stein 12,01 bis 17,49 cm</t>
  </si>
  <si>
    <t>Blockhaus 6,00 bis 7,49 cm</t>
  </si>
  <si>
    <t>Blockhaus 7,50 bis 8,99 cm</t>
  </si>
  <si>
    <t>Blockhaus 3,01 bis 4,99 cm</t>
  </si>
  <si>
    <t>Blockhaus ab 5,00 cm</t>
  </si>
  <si>
    <t>Doppelwand 8,01 bis 10,00 cm</t>
  </si>
  <si>
    <t>Sparren - Abstand nicht fachgerecht, größer als 60-80 cm</t>
  </si>
  <si>
    <t>Sparren - Risse durch Belastung</t>
  </si>
  <si>
    <t>Dach nicht horizentral</t>
  </si>
  <si>
    <t>Mängeltabelle für Ermittlung der Normalherstellungskosten</t>
  </si>
  <si>
    <t>Bauteil</t>
  </si>
  <si>
    <t>Mangel</t>
  </si>
  <si>
    <t>Abzug maximal</t>
  </si>
  <si>
    <t>Abzug konkret</t>
  </si>
  <si>
    <t>Dach</t>
  </si>
  <si>
    <t>Fallrohr ohne Ableitung von der Laube</t>
  </si>
  <si>
    <t>Dachoberfläche beschädigt</t>
  </si>
  <si>
    <t>Dachoberfläche nicht fachgerecht</t>
  </si>
  <si>
    <t>keine Traufkante</t>
  </si>
  <si>
    <t>Ortgang fehlerhaft oder fehlt</t>
  </si>
  <si>
    <t>Dachfenster/Dachluke fehlerhaft</t>
  </si>
  <si>
    <t>muffiger Geruch unter dem Dach</t>
  </si>
  <si>
    <t>Feuchtigkeit in der Dachkonstruktion</t>
  </si>
  <si>
    <t>unzulässige Höhe der Laube</t>
  </si>
  <si>
    <t>Decken</t>
  </si>
  <si>
    <t>Decke hängt durch</t>
  </si>
  <si>
    <t>loser Putz/Hohlstellen</t>
  </si>
  <si>
    <t>Verkleidung defekt</t>
  </si>
  <si>
    <t>Anstrich</t>
  </si>
  <si>
    <t>Wände</t>
  </si>
  <si>
    <t>Risse</t>
  </si>
  <si>
    <t>defekte Verkleidung</t>
  </si>
  <si>
    <t>Horizontalsperre defekt</t>
  </si>
  <si>
    <t>Wände nicht lotgerecht</t>
  </si>
  <si>
    <t>keine fachgerechte Ausführung</t>
  </si>
  <si>
    <t>offene Fugen</t>
  </si>
  <si>
    <t>Fußboden</t>
  </si>
  <si>
    <t>Hohlstellen im Estrich</t>
  </si>
  <si>
    <t>Dielung gibt nach</t>
  </si>
  <si>
    <t>Fußboden nicht waagerecht</t>
  </si>
  <si>
    <t>Fundamenttiefe nicht erkennbar</t>
  </si>
  <si>
    <t>Brüche</t>
  </si>
  <si>
    <t>Kein Spritzwassersockel (mindestens 25 cm)</t>
  </si>
  <si>
    <t>Spritzwassersockel fehlerhaft</t>
  </si>
  <si>
    <t>nicht maßgrecht</t>
  </si>
  <si>
    <t>keine fachgerechte Ausführung (Festigkeit)</t>
  </si>
  <si>
    <t>Ausbau außen</t>
  </si>
  <si>
    <t>Anstrich fehlerhaft</t>
  </si>
  <si>
    <t>Verkleidung fehlerhaft</t>
  </si>
  <si>
    <t>Regenrinne fehlerhaft</t>
  </si>
  <si>
    <t>Ausbau innen</t>
  </si>
  <si>
    <t>Anstrich, Tapeten, Verkleidung fehlerhaft</t>
  </si>
  <si>
    <t>Fußbodenbelag fehlerhaft</t>
  </si>
  <si>
    <t>Fenster - Anstrich defekt</t>
  </si>
  <si>
    <t>Fenster - Gladichtung fehlerhaft (Kitt)</t>
  </si>
  <si>
    <t>Fenster klemmt</t>
  </si>
  <si>
    <t>Fenster undicht</t>
  </si>
  <si>
    <t>Fensterläden nich ordnungsgemäß</t>
  </si>
  <si>
    <t xml:space="preserve">Fensterläden - Anstrich defekt </t>
  </si>
  <si>
    <t>Tür für Außenbereich ungeeignet</t>
  </si>
  <si>
    <t>Tür klemmt</t>
  </si>
  <si>
    <t>Tür unddicht</t>
  </si>
  <si>
    <t xml:space="preserve">Tür - Anstrich defekt </t>
  </si>
  <si>
    <t>Schädlinge</t>
  </si>
  <si>
    <t>Schimmel</t>
  </si>
  <si>
    <t>Marder, Ratten usw.</t>
  </si>
  <si>
    <t>Hausschwamm</t>
  </si>
  <si>
    <t>Taubenkot</t>
  </si>
  <si>
    <t>Fallrohr fehlerhaft</t>
  </si>
  <si>
    <t>Rückflussverhinderer fehlt</t>
  </si>
  <si>
    <t>Treppen, Leitern fehlerhaft</t>
  </si>
  <si>
    <t>Wasseranschluß fehlerhaft bei vorhandener Abwassersammelanlage</t>
  </si>
  <si>
    <t xml:space="preserve">Gesamtabzug % </t>
  </si>
  <si>
    <t>Je nach Zustand</t>
  </si>
  <si>
    <t>2.2. zul. einzelne Schuppen u.ä.</t>
  </si>
  <si>
    <t>hochwertig</t>
  </si>
  <si>
    <t>Güte:</t>
  </si>
  <si>
    <t>minderwertig</t>
  </si>
  <si>
    <t>fehlt</t>
  </si>
  <si>
    <t>Stein 24,00 bis 35,99 cm</t>
  </si>
  <si>
    <t>Zwischensumme</t>
  </si>
  <si>
    <t>% Altersabzug wie Laube =</t>
  </si>
  <si>
    <t>Restnutzungsjahre:</t>
  </si>
  <si>
    <t>%     Mängelabzug =</t>
  </si>
  <si>
    <t>%        Altersabzug =</t>
  </si>
  <si>
    <t>% Mängel   =</t>
  </si>
  <si>
    <t>ohne</t>
  </si>
  <si>
    <t>% Altersabzug (3%/Jahr)        =</t>
  </si>
  <si>
    <t xml:space="preserve"> Abwassersammeltanks und monolithische Betongruben mit gültigem Dichtheitsnachweis sind nach Ablauf von 16 Jahren nicht weiter abzuschreiben.</t>
  </si>
  <si>
    <t xml:space="preserve">Blockhaus ab 9,00 cm </t>
  </si>
  <si>
    <t xml:space="preserve">Blockhaus bis 3,00 cm </t>
  </si>
  <si>
    <t>Doppelwand bis 4,00 cm</t>
  </si>
  <si>
    <t xml:space="preserve">Doppelwand 4,01 bis 8,00 cm </t>
  </si>
  <si>
    <t>nelke</t>
  </si>
  <si>
    <t>vonRN&gt;Anl.I</t>
  </si>
  <si>
    <t xml:space="preserve">Blockhaus ab 9,0 cm </t>
  </si>
  <si>
    <t>Doppelt Holz 10,01 bis 14,99 cm</t>
  </si>
  <si>
    <t xml:space="preserve">Doppelt Holz 15,00 bis 19,99 cm </t>
  </si>
  <si>
    <t>Doppelt Holz ab 20,00 cm</t>
  </si>
  <si>
    <r>
      <t>Doppelt Holz</t>
    </r>
    <r>
      <rPr>
        <sz val="8"/>
        <color theme="1"/>
        <rFont val="Calibri"/>
        <family val="2"/>
        <scheme val="minor"/>
      </rPr>
      <t xml:space="preserve"> </t>
    </r>
    <r>
      <rPr>
        <sz val="11"/>
        <color theme="1"/>
        <rFont val="Calibri"/>
        <family val="2"/>
        <scheme val="minor"/>
      </rPr>
      <t>ab 20,00 cm</t>
    </r>
  </si>
  <si>
    <r>
      <t>Doppelt Holz</t>
    </r>
    <r>
      <rPr>
        <sz val="8"/>
        <color theme="1"/>
        <rFont val="Calibri"/>
        <family val="2"/>
        <scheme val="minor"/>
      </rPr>
      <t xml:space="preserve"> </t>
    </r>
    <r>
      <rPr>
        <sz val="11"/>
        <color theme="1"/>
        <rFont val="Calibri"/>
        <family val="2"/>
        <scheme val="minor"/>
      </rPr>
      <t>10,01 - 14,99 cm</t>
    </r>
  </si>
  <si>
    <r>
      <t xml:space="preserve">Doppelt </t>
    </r>
    <r>
      <rPr>
        <sz val="10"/>
        <color theme="1"/>
        <rFont val="Calibri"/>
        <family val="2"/>
        <scheme val="minor"/>
      </rPr>
      <t>Holz 15,00</t>
    </r>
    <r>
      <rPr>
        <sz val="11"/>
        <color theme="1"/>
        <rFont val="Calibri"/>
        <family val="2"/>
        <scheme val="minor"/>
      </rPr>
      <t xml:space="preserve"> - 19,99 cm </t>
    </r>
  </si>
  <si>
    <t xml:space="preserve">Stein 17,50 - 23,99 cm </t>
  </si>
  <si>
    <t>Stein 24,00 - 35,99 cm</t>
  </si>
  <si>
    <t>Stein 10,00 - 12,00 cm</t>
  </si>
  <si>
    <t>Stein 12,01 - 17,49 cm</t>
  </si>
  <si>
    <t>Blockhaus 6,00 - 7,49 cm</t>
  </si>
  <si>
    <t>Blockhaus 7,50 - 8,99 cm</t>
  </si>
  <si>
    <t>Blockhaus 3,01 - 4,99 cm</t>
  </si>
  <si>
    <t xml:space="preserve">Doppelwand 4,01 - 8,00 cm </t>
  </si>
  <si>
    <t>Doppelwand 8,01 - 10,00 cm</t>
  </si>
  <si>
    <t>Lebenserwartung</t>
  </si>
  <si>
    <t>33 Jahre        3%</t>
  </si>
  <si>
    <t>25 Jahre        4%</t>
  </si>
  <si>
    <t>20 Jahre        5% Regelwert</t>
  </si>
  <si>
    <t>15 Jahre        7%</t>
  </si>
  <si>
    <t>10 Jahre       10%</t>
  </si>
  <si>
    <t>1.1</t>
  </si>
  <si>
    <t>1.2</t>
  </si>
  <si>
    <t>1.3</t>
  </si>
  <si>
    <t>von Anl.IV&gt;RN</t>
  </si>
  <si>
    <t>von RN&gt;Anl.IV</t>
  </si>
  <si>
    <t>Abfuhrbescheinigiung vom</t>
  </si>
  <si>
    <t>Summe K56:K74</t>
  </si>
  <si>
    <t>Aufwuchs lt. Anlage II:</t>
  </si>
  <si>
    <t>Typen</t>
  </si>
  <si>
    <t>Altersabzug =</t>
  </si>
  <si>
    <t>Bezeichnung</t>
  </si>
  <si>
    <t>NHK</t>
  </si>
  <si>
    <t>Altersabzug Spalte</t>
  </si>
  <si>
    <r>
      <t xml:space="preserve">Spalte     </t>
    </r>
    <r>
      <rPr>
        <b/>
        <sz val="11"/>
        <color theme="1"/>
        <rFont val="Calibri"/>
        <family val="2"/>
        <scheme val="minor"/>
      </rPr>
      <t>1</t>
    </r>
  </si>
  <si>
    <r>
      <t xml:space="preserve">Spalte      </t>
    </r>
    <r>
      <rPr>
        <b/>
        <sz val="11"/>
        <color theme="1"/>
        <rFont val="Calibri"/>
        <family val="2"/>
        <scheme val="minor"/>
      </rPr>
      <t>1</t>
    </r>
  </si>
  <si>
    <t>uwe</t>
  </si>
  <si>
    <t>von Anl.I &gt;RN</t>
  </si>
  <si>
    <t>Summe Blatt 1:</t>
  </si>
  <si>
    <t>Übertrag Anlage IV (Blatt 1) :</t>
  </si>
  <si>
    <t>m³</t>
  </si>
  <si>
    <t>Nicht ausgewiesene Mängel sind dem Bauteil der Anlage zuzuordnen.</t>
  </si>
  <si>
    <t xml:space="preserve">(  ) Jahre alt   </t>
  </si>
  <si>
    <t>für 2025</t>
  </si>
  <si>
    <t>A</t>
  </si>
  <si>
    <t>BT: Ü = überdachter Laubenvorplatz / BT: LVP = Laubenvorplatz ohne Überdachung</t>
  </si>
  <si>
    <t>BT: GWH = Gewächshaus</t>
  </si>
  <si>
    <t>BT: A1 bis z.B. A4, Anbau Laube oder Laubenerweiterung</t>
  </si>
  <si>
    <t>A1</t>
  </si>
  <si>
    <t>A2</t>
  </si>
  <si>
    <t>GWH</t>
  </si>
  <si>
    <t>Ü1</t>
  </si>
  <si>
    <t>entfällt</t>
  </si>
  <si>
    <t>S oder U</t>
  </si>
  <si>
    <t>BT: S oder U = Schuppen/Blechschuppen, Unterstand, Bkl. I bis IV.</t>
  </si>
  <si>
    <t>Unterschrift BV</t>
  </si>
  <si>
    <t>xx.xx.xxxx</t>
  </si>
  <si>
    <t>Name des Unterpächters</t>
  </si>
  <si>
    <t>Kleingarten-Nr.</t>
  </si>
  <si>
    <t>Anzahl</t>
  </si>
  <si>
    <t>Art</t>
  </si>
  <si>
    <t>Stück</t>
  </si>
  <si>
    <t>lfdm</t>
  </si>
  <si>
    <t>€</t>
  </si>
  <si>
    <t>*) Gem. Naturschutzgesetz § 29 Abs.5 ist es verboten,</t>
  </si>
  <si>
    <t xml:space="preserve">   Bäume, Büsche oder Sträucher in der Zeit v. 1.März - 30.Sept. </t>
  </si>
  <si>
    <t xml:space="preserve">   zu fällen, zu roden oder auf andere Weise zu beseitigen.</t>
  </si>
  <si>
    <t xml:space="preserve"> -Nicht aufgeführter Aufwuchs ist ohne Bewertung</t>
  </si>
  <si>
    <t xml:space="preserve">                              Bewertung des Aufwuchses:</t>
  </si>
  <si>
    <r>
      <t xml:space="preserve">Die Ermittlung der Beseitigungskosten für </t>
    </r>
    <r>
      <rPr>
        <b/>
        <sz val="11"/>
        <rFont val="Arial"/>
        <family val="2"/>
      </rPr>
      <t>bauliche Anlagen, Sondermüll, Gerümpel</t>
    </r>
  </si>
  <si>
    <r>
      <t xml:space="preserve">sowie </t>
    </r>
    <r>
      <rPr>
        <b/>
        <sz val="11"/>
        <rFont val="Arial"/>
        <family val="2"/>
      </rPr>
      <t>nicht nutzbare Bepflanzung</t>
    </r>
    <r>
      <rPr>
        <sz val="11"/>
        <rFont val="Arial"/>
        <family val="2"/>
      </rPr>
      <t xml:space="preserve"> erfolgte unter Berücksichtigung der Richtlinien des</t>
    </r>
  </si>
  <si>
    <t xml:space="preserve">   Name des Unterpächters</t>
  </si>
  <si>
    <t>1. Bauliche Anlagen und Fundamente</t>
  </si>
  <si>
    <t>2. Aufwuchs</t>
  </si>
  <si>
    <t>3. Gerümpel, Hausrat und Sondermüll</t>
  </si>
  <si>
    <t xml:space="preserve">               Beseitigungskosten</t>
  </si>
  <si>
    <t xml:space="preserve">                             Kleingartenanlage</t>
  </si>
  <si>
    <t xml:space="preserve">                        Summe der Beseitigungskosten:</t>
  </si>
  <si>
    <t>Menge</t>
  </si>
  <si>
    <t xml:space="preserve"> X</t>
  </si>
  <si>
    <t>Reg.Nr.:</t>
  </si>
  <si>
    <t xml:space="preserve">                Kleingarten-Nr.</t>
  </si>
  <si>
    <t>Einheit</t>
  </si>
  <si>
    <t xml:space="preserve">Landesverbandes der Gartenfreunde e.V. </t>
  </si>
  <si>
    <r>
      <t xml:space="preserve">                    B. Bewertung des Aufwuchses   </t>
    </r>
    <r>
      <rPr>
        <sz val="12"/>
        <rFont val="Calibri"/>
        <family val="2"/>
        <scheme val="minor"/>
      </rPr>
      <t>Reg.-Nr.:</t>
    </r>
  </si>
  <si>
    <t xml:space="preserve">        C. Bewertung der Außenanlagen</t>
  </si>
  <si>
    <t>m²/lfdm</t>
  </si>
  <si>
    <t>**) 0,8m Spritzwasserumlauf ist berücksichtigt</t>
  </si>
  <si>
    <t xml:space="preserve">                                           Bewertung der Außenanlagen:</t>
  </si>
  <si>
    <t>Wertermittlung vom:</t>
  </si>
  <si>
    <t xml:space="preserve">             ________________________</t>
  </si>
  <si>
    <t xml:space="preserve">                    Frau Mustermann                                                          </t>
  </si>
  <si>
    <t>,</t>
  </si>
  <si>
    <t>Bezirksverband:</t>
  </si>
  <si>
    <t>Datum: xx.xx.xxxx</t>
  </si>
  <si>
    <r>
      <rPr>
        <b/>
        <sz val="11"/>
        <rFont val="Calibri"/>
        <family val="2"/>
        <scheme val="minor"/>
      </rPr>
      <t xml:space="preserve">Achtung!! </t>
    </r>
    <r>
      <rPr>
        <sz val="11"/>
        <rFont val="Calibri"/>
        <family val="2"/>
        <scheme val="minor"/>
      </rPr>
      <t xml:space="preserve">Wird die Begutachtung nachgeholt, muß nachgewiesen werden, dass die Abwassersammelgrube nach der Begutachtung geleert worden ist, sonst fällt eine Abzug von 150,00 € für die nicht geleerte Grube an.     </t>
    </r>
  </si>
  <si>
    <r>
      <t xml:space="preserve">Die ordnungsgemäße Durchführung der Dichtigkeitsprüfungen hat nach den DIN 1986-30 und EN 1610 sowie EN 12566-1 zu erfolgen und ist im </t>
    </r>
    <r>
      <rPr>
        <u/>
        <sz val="11"/>
        <rFont val="Cambria"/>
        <family val="1"/>
        <scheme val="major"/>
      </rPr>
      <t>Dichtigkeitsgutachten</t>
    </r>
    <r>
      <rPr>
        <sz val="11"/>
        <rFont val="Cambria"/>
        <family val="1"/>
        <scheme val="major"/>
      </rPr>
      <t xml:space="preserve"> zu dokumentieren. Aus den Prüfprotokollen muss die Art der Prüfung und die zutreffenden Parameter, wie z.B. - bei der Prüfung mit Wasser - Material, Durchmesser der Rohrleitungen, Haltungslängen, benetzte Flächen, Volumen und Füllmengen, zulässige Wasserzugabe, gemessene Wasserzugabe und Prüfdauer, ersichtlich sein.  Die Dichtheitsprüfungen sind auf Kosten des Betreibers von einem zertifizierten Sachverständigen durchführen zu lassen. Dieser kennt die zutreffenden relevanten Parameter und gewährleistet mit der Erstellung einer adäquaten Dokumentation (Prüfprotokoll) deren Anerkennung durch die Behörde.</t>
    </r>
  </si>
  <si>
    <r>
      <t xml:space="preserve">Das Abstellen von Kraftfahrzeugen auf der Parzelle ist nicht zulässig. </t>
    </r>
    <r>
      <rPr>
        <sz val="8"/>
        <rFont val="Calibri"/>
        <family val="2"/>
        <scheme val="minor"/>
      </rPr>
      <t>(Ziffer 21 der Gartenordnung)</t>
    </r>
  </si>
  <si>
    <t xml:space="preserve"> Quickborner Str. 12, 13158 Berlin,  info@gartenfreunde-pankow.de</t>
  </si>
  <si>
    <t>Bezirksverband der Gartenfreunde Pankow e.V.</t>
  </si>
  <si>
    <t xml:space="preserve"> Quickborner Str. 12, 13158 Berlin, info@gartenfreunde-pankow.de</t>
  </si>
  <si>
    <t>Die Auflagen zu 1. bis 5. sind vom neuen Unterpächter binnen 9 Monate nach Übernahme der Parzelle zu erfüllen</t>
  </si>
  <si>
    <t>Bezirksverband Vorstand:</t>
  </si>
  <si>
    <r>
      <rPr>
        <sz val="8"/>
        <rFont val="Calibri"/>
        <family val="2"/>
        <scheme val="minor"/>
      </rPr>
      <t>(Herde, Öfen, Kamine, Öl- oder Gasheizungsanlagen)</t>
    </r>
    <r>
      <rPr>
        <sz val="10"/>
        <rFont val="Calibri"/>
        <family val="2"/>
        <scheme val="minor"/>
      </rPr>
      <t xml:space="preserve"> </t>
    </r>
    <r>
      <rPr>
        <b/>
        <sz val="10"/>
        <rFont val="Calibri"/>
        <family val="2"/>
        <scheme val="minor"/>
      </rPr>
      <t>sind zu entfernen.</t>
    </r>
    <r>
      <rPr>
        <sz val="10"/>
        <rFont val="Calibri"/>
        <family val="2"/>
        <scheme val="minor"/>
      </rPr>
      <t xml:space="preserve">     </t>
    </r>
  </si>
  <si>
    <t>Quickborner Str. 12, 13158 Berlin, info@gartenfreunde-pankow.de</t>
  </si>
  <si>
    <t>für den Verein</t>
  </si>
  <si>
    <t xml:space="preserve">Hinweise zur Anwendung der Wertermittlung komplett </t>
  </si>
  <si>
    <t>für den Wertermittler Bau</t>
  </si>
  <si>
    <t>Erst die Formalien ausfüllen</t>
  </si>
  <si>
    <t>Angaben werden auf Register Schuppen und Dach übertragen</t>
  </si>
  <si>
    <t>Ausdrucken nach Bedarf</t>
  </si>
  <si>
    <t>normal oder</t>
  </si>
  <si>
    <t>Dach oder</t>
  </si>
  <si>
    <t>Schuppen</t>
  </si>
  <si>
    <t>Die Blätter sind geschützt, so dass nur die benötigten Zellen und Flächen genutzt werden können.</t>
  </si>
  <si>
    <t xml:space="preserve">Der Blattschutz kann über  </t>
  </si>
  <si>
    <t xml:space="preserve">Start &gt; Format &gt;  Schutz &gt; Blattschutz aufheben/Blatt schützen </t>
  </si>
  <si>
    <t>das Passwort geschützt ist.</t>
  </si>
  <si>
    <t>keitszertifikat fehlt.</t>
  </si>
  <si>
    <t>Die Abwassersammelgrube ist nicht entschädigungsfähig, da ein Dichtig-</t>
  </si>
  <si>
    <t>dende Unterpächter ein Zertifikat vorweisen kann.</t>
  </si>
  <si>
    <t>Einzelpreis</t>
  </si>
  <si>
    <t>Maß-einheit</t>
  </si>
  <si>
    <r>
      <t xml:space="preserve"> =Alterswertminderung </t>
    </r>
    <r>
      <rPr>
        <sz val="8"/>
        <color theme="1"/>
        <rFont val="Calibri"/>
        <family val="2"/>
        <scheme val="minor"/>
      </rPr>
      <t>entsprechend der Abzugstabelle für Abschreibungen in den einzelnen Bauklassen</t>
    </r>
  </si>
  <si>
    <r>
      <t xml:space="preserve">(1/100 </t>
    </r>
    <r>
      <rPr>
        <sz val="8"/>
        <color theme="1"/>
        <rFont val="Calibri"/>
        <family val="2"/>
        <scheme val="minor"/>
      </rPr>
      <t>Baupreisindex)</t>
    </r>
    <r>
      <rPr>
        <sz val="10"/>
        <color theme="1"/>
        <rFont val="Calibri"/>
        <family val="2"/>
        <scheme val="minor"/>
      </rPr>
      <t xml:space="preserve"> =</t>
    </r>
  </si>
  <si>
    <r>
      <rPr>
        <b/>
        <u/>
        <sz val="10"/>
        <color theme="1"/>
        <rFont val="Calibri"/>
        <family val="2"/>
        <scheme val="minor"/>
      </rPr>
      <t>2. Sonstige bauliche Anlagen</t>
    </r>
    <r>
      <rPr>
        <b/>
        <sz val="10"/>
        <color theme="1"/>
        <rFont val="Calibri"/>
        <family val="2"/>
        <scheme val="minor"/>
      </rPr>
      <t xml:space="preserve"> (</t>
    </r>
    <r>
      <rPr>
        <b/>
        <sz val="8"/>
        <color theme="1"/>
        <rFont val="Calibri"/>
        <family val="2"/>
        <scheme val="minor"/>
      </rPr>
      <t>Gewächshaus, separatstehende Baulichkeiten und offener Laubenvorplatz</t>
    </r>
    <r>
      <rPr>
        <b/>
        <sz val="10"/>
        <color theme="1"/>
        <rFont val="Calibri"/>
        <family val="2"/>
        <scheme val="minor"/>
      </rPr>
      <t>)</t>
    </r>
  </si>
  <si>
    <r>
      <rPr>
        <b/>
        <u/>
        <sz val="10"/>
        <color theme="1"/>
        <rFont val="Calibri"/>
        <family val="2"/>
        <scheme val="minor"/>
      </rPr>
      <t>2.1.Gewächshaus</t>
    </r>
    <r>
      <rPr>
        <sz val="10"/>
        <color theme="1"/>
        <rFont val="Calibri"/>
        <family val="2"/>
        <scheme val="minor"/>
      </rPr>
      <t xml:space="preserve">          </t>
    </r>
    <r>
      <rPr>
        <b/>
        <sz val="10"/>
        <color theme="1"/>
        <rFont val="Calibri"/>
        <family val="2"/>
        <scheme val="minor"/>
      </rPr>
      <t>BT:</t>
    </r>
  </si>
  <si>
    <r>
      <t xml:space="preserve">zulässig überbaute Fläche </t>
    </r>
    <r>
      <rPr>
        <sz val="8"/>
        <color theme="1"/>
        <rFont val="Calibri"/>
        <family val="2"/>
        <scheme val="minor"/>
      </rPr>
      <t>(s. Massenberechnung)</t>
    </r>
  </si>
  <si>
    <r>
      <t xml:space="preserve">= </t>
    </r>
    <r>
      <rPr>
        <b/>
        <sz val="10"/>
        <color theme="1"/>
        <rFont val="Calibri"/>
        <family val="2"/>
        <scheme val="minor"/>
      </rPr>
      <t>Wert BT</t>
    </r>
  </si>
  <si>
    <r>
      <t xml:space="preserve">Hinweis: Beim Laubenvorplatz immer darauf achten, dass unter E58 bzw. B62 bei einem Anfalll von a) oder b) beim anderen Bauteil </t>
    </r>
    <r>
      <rPr>
        <sz val="11"/>
        <rFont val="Calibri"/>
        <family val="2"/>
        <scheme val="minor"/>
      </rPr>
      <t>0</t>
    </r>
    <r>
      <rPr>
        <sz val="11"/>
        <color rgb="FFFF0000"/>
        <rFont val="Calibri"/>
        <family val="2"/>
        <scheme val="minor"/>
      </rPr>
      <t xml:space="preserve"> bzw. </t>
    </r>
    <r>
      <rPr>
        <sz val="11"/>
        <rFont val="Calibri"/>
        <family val="2"/>
        <scheme val="minor"/>
      </rPr>
      <t>ohne</t>
    </r>
    <r>
      <rPr>
        <sz val="11"/>
        <color rgb="FFFF0000"/>
        <rFont val="Calibri"/>
        <family val="2"/>
        <scheme val="minor"/>
      </rPr>
      <t xml:space="preserve"> (siehe dropdown-Listen) eingetragen ist.</t>
    </r>
  </si>
  <si>
    <r>
      <t xml:space="preserve">zulässig überbaute Fläche </t>
    </r>
    <r>
      <rPr>
        <sz val="8"/>
        <rFont val="Calibri"/>
        <family val="2"/>
        <scheme val="minor"/>
      </rPr>
      <t>(s. Massenberechnung)</t>
    </r>
  </si>
  <si>
    <r>
      <rPr>
        <b/>
        <u/>
        <sz val="10"/>
        <color theme="1"/>
        <rFont val="Calibri"/>
        <family val="2"/>
        <scheme val="minor"/>
      </rPr>
      <t>Abwassersammelgrube</t>
    </r>
    <r>
      <rPr>
        <b/>
        <sz val="10"/>
        <color theme="1"/>
        <rFont val="Calibri"/>
        <family val="2"/>
        <scheme val="minor"/>
      </rPr>
      <t xml:space="preserve"> </t>
    </r>
    <r>
      <rPr>
        <sz val="10"/>
        <color theme="1"/>
        <rFont val="Calibri"/>
        <family val="2"/>
        <scheme val="minor"/>
      </rPr>
      <t>Genehmigung vom</t>
    </r>
  </si>
  <si>
    <t>für den Verein:</t>
  </si>
  <si>
    <t>für den Auftraggeber:</t>
  </si>
  <si>
    <t>Wertermittler Bau:</t>
  </si>
  <si>
    <t>ME</t>
  </si>
  <si>
    <t>Summe</t>
  </si>
  <si>
    <t>Bauteil/Gegenstand</t>
  </si>
  <si>
    <t>Bewertung</t>
  </si>
  <si>
    <t>Aufwuchs lt. Anlage 3</t>
  </si>
  <si>
    <t xml:space="preserve">Gesamtbetrag mit Abzügen </t>
  </si>
  <si>
    <t>Kontakt: wertermittlung@gartenfreunde-pankow.de</t>
  </si>
  <si>
    <t>Dieses Protokoll ist das Ergebnis einer Momentaufnahme von Daten zum Zeitpunkt der Wertermittlung auf der Parzelle. Es ist rechtlich nicht mit einem Gutachten gleichzusetzen. Widersprüche wegen nicht korrekter Aufnahme von Daten sind innerhalb 14 Tage direkt an die Wertermittler in schriftlicher Form zu richten. Ein Rechtsanspruch auf Änderung des Protokolls besteht nicht, wenn zum Zeitpunkt der Wertermittlung nicht alle Dokumente zur Ermittlung der Rechtmäßigkeit der Errichtung von Baulichkeiten und Außenanlagen vorgelegt wurden. Besteht trotzdem der dringende Wunsch des abgebenden Unterpächters das Protokoll nachträglich zu ändern, z.B. wegen nachträglicher Einreichung von Nachweisen, können Kosten entstehen.</t>
  </si>
  <si>
    <t>Änderungen der Bewertung durch nachträgliche Prüfung der Vertragslage sind nicht Bestandteil dieses Protokolls und bedürfen einer zusätzlichen Dokumentation.</t>
  </si>
  <si>
    <t>Gesamtpreis</t>
  </si>
  <si>
    <t>BV</t>
  </si>
  <si>
    <t>Abkürzungen</t>
  </si>
  <si>
    <t>UP</t>
  </si>
  <si>
    <t>UPV</t>
  </si>
  <si>
    <t>Unterpachtvertrag</t>
  </si>
  <si>
    <t>Gfrd.</t>
  </si>
  <si>
    <t>Gartenfreund</t>
  </si>
  <si>
    <t>Gfrdn</t>
  </si>
  <si>
    <t>Gartenfreundin</t>
  </si>
  <si>
    <t>Gfrde</t>
  </si>
  <si>
    <t>Gartenfreunde</t>
  </si>
  <si>
    <t>KleingN</t>
  </si>
  <si>
    <t>Kleingärtnerische Nutzung im Sinne der Gartenordnung</t>
  </si>
  <si>
    <t>RiLW</t>
  </si>
  <si>
    <t>PW</t>
  </si>
  <si>
    <t>Pächterwechsel</t>
  </si>
  <si>
    <t>ASG</t>
  </si>
  <si>
    <t>Abwassersammelgrube</t>
  </si>
  <si>
    <t>BG</t>
  </si>
  <si>
    <t>Baugenehmigung</t>
  </si>
  <si>
    <t>EA</t>
  </si>
  <si>
    <t>Elektroanschluss</t>
  </si>
  <si>
    <t>EZ</t>
  </si>
  <si>
    <t>Elektrozähler</t>
  </si>
  <si>
    <t>FI</t>
  </si>
  <si>
    <t>Fehlerstrom</t>
  </si>
  <si>
    <t>FOK</t>
  </si>
  <si>
    <t>Fußbodenoberkante</t>
  </si>
  <si>
    <t>GFP</t>
  </si>
  <si>
    <t>Glasfaserverstärktes Polyester</t>
  </si>
  <si>
    <t>HW</t>
  </si>
  <si>
    <t>Hauswasseranlage</t>
  </si>
  <si>
    <t>KST</t>
  </si>
  <si>
    <t>Kunststoff</t>
  </si>
  <si>
    <t>LB</t>
  </si>
  <si>
    <t>Leichtbau</t>
  </si>
  <si>
    <t>mH</t>
  </si>
  <si>
    <t>mittlere Höhe</t>
  </si>
  <si>
    <t>Normalherstellungskosten</t>
  </si>
  <si>
    <t>RH</t>
  </si>
  <si>
    <t>Rankhilfe</t>
  </si>
  <si>
    <t>Si</t>
  </si>
  <si>
    <t>Sicherungen (elektrische)</t>
  </si>
  <si>
    <t>TB</t>
  </si>
  <si>
    <t>Trockenbau</t>
  </si>
  <si>
    <t>verz.</t>
  </si>
  <si>
    <t>verzinkt</t>
  </si>
  <si>
    <t>VHS</t>
  </si>
  <si>
    <t>Vorhängeschloß</t>
  </si>
  <si>
    <t>WA</t>
  </si>
  <si>
    <t>Wasseranschluss</t>
  </si>
  <si>
    <t>WMG</t>
  </si>
  <si>
    <t>Wassermessgrube</t>
  </si>
  <si>
    <t>WZ</t>
  </si>
  <si>
    <t>Wasserzähler</t>
  </si>
  <si>
    <t>WZS</t>
  </si>
  <si>
    <t>Wasserzapfstelle</t>
  </si>
  <si>
    <t>zul.</t>
  </si>
  <si>
    <t>zulässig (im Sinne der Richtlinien)</t>
  </si>
  <si>
    <t>ggf.Weg soweit erforderlich</t>
  </si>
  <si>
    <t>Die Wertermittlung erfolgt auf der Grundlage der "Wertermittlungsrichtlinie für Kleingärten" des Landesverbandes Berlin der Gartenfreunde e.V.</t>
  </si>
  <si>
    <t xml:space="preserve">Der neue Unterpächter muss das Inventar nicht übernehmen, es muss dann vom scheidenden Unterpächter entfernt werden. </t>
  </si>
  <si>
    <t>Parzelle:</t>
  </si>
  <si>
    <t>Wertermittler Außenanlagen und Aufwuchs:</t>
  </si>
  <si>
    <t>Vorgangs-Nr.:</t>
  </si>
  <si>
    <t>Außenanlagen lt. Anlage 2</t>
  </si>
  <si>
    <t>Parzelle / Weg:</t>
  </si>
  <si>
    <t>„Sachlich und rechnerisch geprüft “</t>
  </si>
  <si>
    <t>Ein etwaiger Widerspruch gegen diese Wertermittlung ist innerhalb von 14 Tagen schriftlich an den Bezirksverband der Gartenfreunde Pankow e.V. zu richten.</t>
  </si>
  <si>
    <r>
      <rPr>
        <b/>
        <sz val="11"/>
        <color theme="1"/>
        <rFont val="Calibri"/>
        <family val="2"/>
        <scheme val="minor"/>
      </rPr>
      <t xml:space="preserve">Erklärung: </t>
    </r>
    <r>
      <rPr>
        <sz val="11"/>
        <color theme="1"/>
        <rFont val="Calibri"/>
        <family val="2"/>
        <scheme val="minor"/>
      </rPr>
      <t>Die Wertermittler haften nicht für versteckte Mängel.
Versteckte Mängel im Sinne dieses Protokolls sind Mängel an Baulichkeiten und baulichen Anlagen, die vom Wertermittler nicht eingesehen werden konnten. Dabei ist es unwichtig, ob die Einsichtbarkeit wegen Wandverkleidungen innen und/oder außen (mit oder ohne Baugenehmigung), dichtem Pflanzenwuchs, eingebautem Mobiliar oder sonstigen Gegenständen behindert wurde.</t>
    </r>
  </si>
  <si>
    <r>
      <t xml:space="preserve">Regenrinne oder Fallrohr </t>
    </r>
    <r>
      <rPr>
        <sz val="8"/>
        <rFont val="Calibri"/>
        <family val="2"/>
        <scheme val="minor"/>
      </rPr>
      <t>nicht fachgerecht</t>
    </r>
  </si>
  <si>
    <t xml:space="preserve">Wertermittler: </t>
  </si>
  <si>
    <t>Auflistung Außenanlagen - Art</t>
  </si>
  <si>
    <t>Auflistung Aufwuchs - Art</t>
  </si>
  <si>
    <t>Übertrag von Anlage 3:</t>
  </si>
  <si>
    <t xml:space="preserve">Richtlinie zur Wertermittlung von Kleingartenparzellen </t>
  </si>
  <si>
    <t>(hier des Landesverbandes Berlin)</t>
  </si>
  <si>
    <t xml:space="preserve">Bauklasse "U" ist keine Bauklasse im Sinne der Baubewertung. Sie gibt nur an, </t>
  </si>
  <si>
    <t>dass es sich um eine überdachte Fläche handelt.</t>
  </si>
  <si>
    <t>L</t>
  </si>
  <si>
    <t>Bezirksverband (hier Gartenfreunde Pankow e.V.)</t>
  </si>
  <si>
    <t>Anbau (A1 = Anbau 1; A2 = Anbau 2 usw.)</t>
  </si>
  <si>
    <t>Gewächshaus</t>
  </si>
  <si>
    <t>Baulichkeiten, Baumaterialien  und Außenanlagen:</t>
  </si>
  <si>
    <t>Vertrag:</t>
  </si>
  <si>
    <r>
      <rPr>
        <b/>
        <sz val="11"/>
        <color theme="1"/>
        <rFont val="Calibri"/>
        <family val="2"/>
        <scheme val="minor"/>
      </rPr>
      <t>Sonderabfall</t>
    </r>
    <r>
      <rPr>
        <sz val="11"/>
        <color theme="1"/>
        <rFont val="Calibri"/>
        <family val="2"/>
        <scheme val="minor"/>
      </rPr>
      <t xml:space="preserve"> </t>
    </r>
  </si>
  <si>
    <t>S</t>
  </si>
  <si>
    <t>Außenanlagen insgesamt:</t>
  </si>
  <si>
    <t>Aufwuchs insgesamt/Übertrag:</t>
  </si>
  <si>
    <t>Aufwuchs insgesamt:</t>
  </si>
  <si>
    <t>Wertermittler: Baulichkeiten</t>
  </si>
  <si>
    <t>Wertermittler: Außenanlagen &amp; Aufwuchs</t>
  </si>
  <si>
    <t>Protokollerstellung am:</t>
  </si>
  <si>
    <r>
      <t xml:space="preserve">Anlage 1 (Blatt 2) </t>
    </r>
    <r>
      <rPr>
        <b/>
        <sz val="12"/>
        <color theme="1"/>
        <rFont val="Arial"/>
        <family val="2"/>
      </rPr>
      <t>–</t>
    </r>
    <r>
      <rPr>
        <b/>
        <sz val="12"/>
        <color theme="1"/>
        <rFont val="Calibri"/>
        <family val="2"/>
        <scheme val="minor"/>
      </rPr>
      <t xml:space="preserve"> Bewertung von Baulichkeiten</t>
    </r>
  </si>
  <si>
    <t>Skizze – Baulichkeiten</t>
  </si>
  <si>
    <t>Anlage 3a – Bewertung Aufwuchs</t>
  </si>
  <si>
    <r>
      <t xml:space="preserve">Anlage 1 (Blatt 1) </t>
    </r>
    <r>
      <rPr>
        <b/>
        <sz val="12"/>
        <color theme="1"/>
        <rFont val="Arial"/>
        <family val="2"/>
      </rPr>
      <t>–</t>
    </r>
    <r>
      <rPr>
        <b/>
        <sz val="12"/>
        <color theme="1"/>
        <rFont val="Calibri"/>
        <family val="2"/>
        <scheme val="minor"/>
      </rPr>
      <t xml:space="preserve"> Bewertung Baulichkeiten</t>
    </r>
  </si>
  <si>
    <t>für den Wertermittler Außenanlagen/Grün</t>
  </si>
  <si>
    <t>Dann Anlage 1</t>
  </si>
  <si>
    <t>Wir weisen Sie darauf hin, dass die durch die Wertermittler ermittelten Beträge erst bei Neuverpachtung zur Zahlung fällig werden (siehe § 9 Abs. 7 des Unterpachtvertrages).</t>
  </si>
  <si>
    <t>davon 6 % zulässige versiegelte Fläche:</t>
  </si>
  <si>
    <t>Beschreibung Außenanlagen</t>
  </si>
  <si>
    <t>Beschreibung Aufwuchs:</t>
  </si>
  <si>
    <t>Seite 1</t>
  </si>
  <si>
    <t>Seite 2</t>
  </si>
  <si>
    <t>Seite 3</t>
  </si>
  <si>
    <t>Seite 4</t>
  </si>
  <si>
    <t>Seite 5</t>
  </si>
  <si>
    <t>Seite 6</t>
  </si>
  <si>
    <t>Seite 7</t>
  </si>
  <si>
    <t>Seite 6a</t>
  </si>
  <si>
    <t>Faktor</t>
  </si>
  <si>
    <t>Begründung wenn Faktor über 100 %</t>
  </si>
  <si>
    <t>Abzug wegen nicht geleerter Abwassergrube</t>
  </si>
  <si>
    <t>2. Zu entfernene Außenanlagen laut Skizze Außenanlagen-Aufwuchs</t>
  </si>
  <si>
    <t>Beseitigungskosten Bau lt. Anlage 4</t>
  </si>
  <si>
    <t>Baubeschreibung</t>
  </si>
  <si>
    <t>Bewertete  bebaute Fläche</t>
  </si>
  <si>
    <t>Abzüge wegen nicht beräumter Baulichkeiten</t>
  </si>
  <si>
    <t>Preis</t>
  </si>
  <si>
    <t>Kosten nicht beräumter Baulichkeiten</t>
  </si>
  <si>
    <t>Name Unterpächter:</t>
  </si>
  <si>
    <t>Parzelle/Weg:</t>
  </si>
  <si>
    <t>Anlage 4 (Blatt 1) – Beseitigungskosten Bau/Außenanlagen</t>
  </si>
  <si>
    <t xml:space="preserve">Anlage 3 – Bewertung Aufwuchs </t>
  </si>
  <si>
    <t>Anlage 2 – Bewertung Außenanlagen</t>
  </si>
  <si>
    <t>1. Zu entfernende Aufbauten laut Skizze Bau</t>
  </si>
  <si>
    <t>Entsorgung mit Nachweis</t>
  </si>
  <si>
    <t>Entsorgung Sonderbaustoffe mit Nachweis</t>
  </si>
  <si>
    <t>Schornsteinmauerwerk fachgerecht entsorgen.</t>
  </si>
  <si>
    <t>bitumenhaltige Stoffe sind enstsprechend der GefStoffV i.V.m. der TRGS 519 zu demontieren und zu entsorgen.</t>
  </si>
  <si>
    <t>Well-/Ebenasbest ist Sondermüll, es ist enstsprechend der GefStoffV i.V.m. der TRGS 519 zu demontieren und zu entsorgen.</t>
  </si>
  <si>
    <t>Entsorgung unterschiedlicher Gegenstände</t>
  </si>
  <si>
    <t>Sat.- Antenne entfernen</t>
  </si>
  <si>
    <t>Sondermüll mit Nachweis entfernen</t>
  </si>
  <si>
    <t>Unrat aus Baulichkeiten entfernen</t>
  </si>
  <si>
    <t>nicht genutzte Baustoffe entfernen</t>
  </si>
  <si>
    <t>Wiederherstellung kleing. Nutzung</t>
  </si>
  <si>
    <t>Beetflächen auf 10% Parzellenfläche erhöhen</t>
  </si>
  <si>
    <t>Hecke lt. Skizze entfernen</t>
  </si>
  <si>
    <t>Hecke auf zul. Höhe (1,25m) schneiden</t>
  </si>
  <si>
    <t>Aussenhecke auf zul. Höhe (1,80m) schneiden</t>
  </si>
  <si>
    <t>Verwilderung beseitigen</t>
  </si>
  <si>
    <t>Wurzelstock entfernen (roden)</t>
  </si>
  <si>
    <t>Pool entfernen und Mutterboden auffüllen</t>
  </si>
  <si>
    <t>Spielgeräte beseitigen</t>
  </si>
  <si>
    <t>Zweites Gartentor/-Tür entfernen, Zaunfeld einsetzen</t>
  </si>
  <si>
    <t>Rückbau Anbau1 s. - Skizze Bau</t>
  </si>
  <si>
    <t>Rückbau Keller s. - Skizze Bau</t>
  </si>
  <si>
    <t>Rückbau LVP komplett Ü1 ohne Bodenplatte  s. -Skizze Bau</t>
  </si>
  <si>
    <t>Rückbau versiegelte Fläche (AA)</t>
  </si>
  <si>
    <t>bitumenhaltige Stoffe sind entsprechend der GefStoffV i.V.m. der TRGS 519 zu demontieren und zu entsorgen</t>
  </si>
  <si>
    <t>7.</t>
  </si>
  <si>
    <t>8.</t>
  </si>
  <si>
    <t>12.</t>
  </si>
  <si>
    <t>dann nur die Anlage 4 Seite 1</t>
  </si>
  <si>
    <t>Dann Anlage Außenanlagen, Aufwuchs 2 ggf. Aufwuchs 3</t>
  </si>
  <si>
    <t>dann Anlage 4 Beseitigungskosten Seite 1 und 2</t>
  </si>
  <si>
    <t>wir.</t>
  </si>
  <si>
    <t>wir</t>
  </si>
  <si>
    <t>Laubenvorplatz / überdachter Laubenvorplatz</t>
  </si>
  <si>
    <t>U / T</t>
  </si>
  <si>
    <t>LVP / ÜVP</t>
  </si>
  <si>
    <t>Unterstand / Toilettenhaus</t>
  </si>
  <si>
    <r>
      <t xml:space="preserve">Register </t>
    </r>
    <r>
      <rPr>
        <b/>
        <sz val="10"/>
        <rFont val="Calibri"/>
        <family val="2"/>
        <scheme val="minor"/>
      </rPr>
      <t>rot</t>
    </r>
  </si>
  <si>
    <r>
      <t xml:space="preserve">Register </t>
    </r>
    <r>
      <rPr>
        <b/>
        <sz val="10"/>
        <rFont val="Calibri"/>
        <family val="2"/>
        <scheme val="minor"/>
      </rPr>
      <t>grün</t>
    </r>
  </si>
  <si>
    <r>
      <t xml:space="preserve">Register </t>
    </r>
    <r>
      <rPr>
        <b/>
        <sz val="10"/>
        <rFont val="Calibri"/>
        <family val="2"/>
        <scheme val="minor"/>
      </rPr>
      <t>gelb</t>
    </r>
  </si>
  <si>
    <r>
      <t xml:space="preserve">Register </t>
    </r>
    <r>
      <rPr>
        <b/>
        <sz val="10"/>
        <rFont val="Calibri"/>
        <family val="2"/>
        <scheme val="minor"/>
      </rPr>
      <t>hell lila</t>
    </r>
  </si>
  <si>
    <r>
      <t xml:space="preserve">Register </t>
    </r>
    <r>
      <rPr>
        <b/>
        <sz val="10"/>
        <rFont val="Calibri"/>
        <family val="2"/>
        <scheme val="minor"/>
      </rPr>
      <t>blau</t>
    </r>
  </si>
  <si>
    <r>
      <t xml:space="preserve">aufgehoben  und wieder  in Kraft gesetzt werden. Ausgenommen ist das Register </t>
    </r>
    <r>
      <rPr>
        <b/>
        <sz val="10"/>
        <rFont val="Calibri"/>
        <family val="2"/>
        <scheme val="minor"/>
      </rPr>
      <t>"Tabelle 1"</t>
    </r>
  </si>
  <si>
    <t>Baulichkeiten nicht fertiggestellt: Sie werden zunächst nach dem Stand des Ausbaus bewertet. Es können Abschläge für Mängel kalkuliert werden (z.B. Witterungseinflüsse), die konkret zu benennen sind.</t>
  </si>
  <si>
    <t xml:space="preserve">          Unterschrift BV</t>
  </si>
  <si>
    <t>Baulichkeiten lt. Anlage  1</t>
  </si>
  <si>
    <t>Beseitigungskosten AA &amp; Aufwuchs lt. Anlage 4</t>
  </si>
  <si>
    <t>nicht berechnete Baufläche</t>
  </si>
  <si>
    <t>nicht berechnete Baufläche, Laube &gt; als 24,0 m²</t>
  </si>
  <si>
    <t>nicht berechnete Bauflächen von BT:</t>
  </si>
  <si>
    <t>Nicht geleerte Abwassersammelgrube</t>
  </si>
  <si>
    <t>Einbehalt für Fäkalienabfuhr, wenn Grube bei der WE nicht geleert ist</t>
  </si>
  <si>
    <t xml:space="preserve">                   Letzte Abfuhrbescheinigung vom </t>
  </si>
  <si>
    <t>Beseitigungskosten für nicht gestattete bauliche Anlagen oder nicht gestattete Bepflanzungen /</t>
  </si>
  <si>
    <t>Außenanlagen (einschließlich Folgekosten)</t>
  </si>
  <si>
    <t>Summe:</t>
  </si>
  <si>
    <t>In der Zeit vom 1.März bis 30.Sepzember eines jeden Jahres dürfen aus Gründen des Naturschutzes, insbesondere des</t>
  </si>
  <si>
    <t xml:space="preserve">Vogelschutzes, keine Bäume sowie Gehölze entfernt werden. </t>
  </si>
  <si>
    <t>Pflegemaßnahmen sind soweit genehmigt oder genehmigungsfrei in moderatem Umfang möglich.</t>
  </si>
  <si>
    <t xml:space="preserve"> Bei Fäll- und Schnittmaßnahmen dürfen Brut- oder Lebensstätten weder beeinträchtigt noch zerstört werden.</t>
  </si>
  <si>
    <t>Auf das Bundesnaturschutz- sowie das Berliner Naturschutzgesetz in ihren jeweils geltenden Fassungen wird hingewiesen.</t>
  </si>
  <si>
    <t>Hecken auf und an der Parzelle sind grundsätzlich ganzjährig auf eine Höhe von 1,25 m zu halten.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</si>
</sst>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7" formatCode="#,##0.00\ &quot;€&quot;;\-#,##0.00\ &quot;€&quot;"/>
    <numFmt numFmtId="8" formatCode="#,##0.00\ &quot;€&quot;;[Red]\-#,##0.00\ &quot;€&quot;"/>
    <numFmt numFmtId="44" formatCode="_-* #,##0.00\ &quot;€&quot;_-;\-* #,##0.00\ &quot;€&quot;_-;_-* &quot;-&quot;??\ &quot;€&quot;_-;_-@_-"/>
    <numFmt numFmtId="43" formatCode="_-* #,##0.00_-;\-* #,##0.00_-;_-* &quot;-&quot;??_-;_-@_-"/>
    <numFmt numFmtId="164" formatCode="0\ &quot;Jahre&quot;"/>
    <numFmt numFmtId="165" formatCode="0.00&quot;m²&quot;"/>
    <numFmt numFmtId="166" formatCode="0.0"/>
    <numFmt numFmtId="167" formatCode="#,##0.00\ &quot;€&quot;"/>
    <numFmt numFmtId="168" formatCode="#,##0.00_ ;\-#,##0.00\ "/>
    <numFmt numFmtId="169" formatCode="_-* #,##0.00\ [$€-407]_-;\-* #,##0.00\ [$€-407]_-;_-* &quot;-&quot;??\ [$€-407]_-;_-@_-"/>
    <numFmt numFmtId="170" formatCode="_-* #,##0.00\ &quot;DM&quot;_-;\-* #,##0.00\ &quot;DM&quot;_-;_-* &quot;-&quot;??\ &quot;DM&quot;_-;_-@_-"/>
    <numFmt numFmtId="171" formatCode="0&quot;%&quot;"/>
    <numFmt numFmtId="172" formatCode="[$-407]d/\ mmmm\ yyyy;@"/>
    <numFmt numFmtId="173" formatCode="d/\ mmmm\ yyyy"/>
    <numFmt numFmtId="174" formatCode="0.00&quot; €/m²&quot;"/>
    <numFmt numFmtId="175" formatCode="0.00&quot;m³&quot;"/>
    <numFmt numFmtId="176" formatCode="0.00&quot; m²&quot;"/>
    <numFmt numFmtId="177" formatCode="0.00_)"/>
    <numFmt numFmtId="178" formatCode="_-* #,##0.00\ _D_M_-;\-* #,##0.00\ _D_M_-;_-* &quot;-&quot;\ _D_M_-;_-@_-"/>
    <numFmt numFmtId="179" formatCode="0\ &quot;m²&quot;"/>
  </numFmts>
  <fonts count="91" x14ac:knownFonts="1">
    <font>
      <sz val="11"/>
      <color theme="1"/>
      <name val="Calibri"/>
      <family val="2"/>
      <scheme val="minor"/>
    </font>
    <font>
      <sz val="11"/>
      <color theme="1"/>
      <name val="Calibri"/>
      <family val="2"/>
      <scheme val="minor"/>
    </font>
    <font>
      <sz val="10"/>
      <name val="Arial"/>
      <family val="2"/>
    </font>
    <font>
      <b/>
      <sz val="10"/>
      <name val="Arial"/>
      <family val="2"/>
    </font>
    <font>
      <b/>
      <sz val="12"/>
      <name val="Arial"/>
      <family val="2"/>
    </font>
    <font>
      <sz val="9"/>
      <name val="Arial"/>
      <family val="2"/>
    </font>
    <font>
      <sz val="9"/>
      <color theme="1"/>
      <name val="Arial"/>
      <family val="2"/>
    </font>
    <font>
      <sz val="11"/>
      <name val="Arial"/>
      <family val="2"/>
    </font>
    <font>
      <sz val="8"/>
      <name val="Arial"/>
      <family val="2"/>
    </font>
    <font>
      <sz val="12"/>
      <name val="Arial"/>
      <family val="2"/>
    </font>
    <font>
      <b/>
      <sz val="8"/>
      <name val="Arial"/>
      <family val="2"/>
    </font>
    <font>
      <sz val="10"/>
      <color rgb="FFFF0000"/>
      <name val="Arial"/>
      <family val="2"/>
    </font>
    <font>
      <b/>
      <u/>
      <sz val="10"/>
      <name val="Arial"/>
      <family val="2"/>
    </font>
    <font>
      <sz val="9"/>
      <color indexed="81"/>
      <name val="Tahoma"/>
      <family val="2"/>
    </font>
    <font>
      <b/>
      <sz val="9"/>
      <color indexed="81"/>
      <name val="Tahoma"/>
      <family val="2"/>
    </font>
    <font>
      <b/>
      <sz val="11"/>
      <name val="Arial"/>
      <family val="2"/>
    </font>
    <font>
      <u/>
      <sz val="11"/>
      <name val="Arial"/>
      <family val="2"/>
    </font>
    <font>
      <b/>
      <u/>
      <sz val="12"/>
      <name val="Arial"/>
      <family val="2"/>
    </font>
    <font>
      <b/>
      <sz val="9"/>
      <color indexed="81"/>
      <name val="Segoe UI"/>
      <family val="2"/>
    </font>
    <font>
      <sz val="9"/>
      <color indexed="81"/>
      <name val="Segoe UI"/>
      <family val="2"/>
    </font>
    <font>
      <b/>
      <u/>
      <sz val="9"/>
      <color indexed="81"/>
      <name val="Tahoma"/>
      <family val="2"/>
    </font>
    <font>
      <sz val="10"/>
      <name val="Arial"/>
      <family val="2"/>
    </font>
    <font>
      <b/>
      <i/>
      <sz val="9"/>
      <color indexed="81"/>
      <name val="Segoe UI"/>
      <family val="2"/>
    </font>
    <font>
      <b/>
      <sz val="11"/>
      <color theme="1"/>
      <name val="Calibri"/>
      <family val="2"/>
      <scheme val="minor"/>
    </font>
    <font>
      <sz val="9"/>
      <color theme="1"/>
      <name val="Calibri"/>
      <family val="2"/>
      <scheme val="minor"/>
    </font>
    <font>
      <b/>
      <sz val="9"/>
      <color theme="1"/>
      <name val="Calibri"/>
      <family val="2"/>
      <scheme val="minor"/>
    </font>
    <font>
      <sz val="11"/>
      <color theme="1"/>
      <name val="Arial"/>
      <family val="2"/>
    </font>
    <font>
      <sz val="10"/>
      <color theme="1"/>
      <name val="Calibri"/>
      <family val="2"/>
      <scheme val="minor"/>
    </font>
    <font>
      <u/>
      <sz val="11"/>
      <color theme="1"/>
      <name val="Calibri"/>
      <family val="2"/>
      <scheme val="minor"/>
    </font>
    <font>
      <sz val="11"/>
      <name val="Calibri"/>
      <family val="2"/>
      <scheme val="minor"/>
    </font>
    <font>
      <sz val="8"/>
      <color theme="1"/>
      <name val="Calibri"/>
      <family val="2"/>
      <scheme val="minor"/>
    </font>
    <font>
      <sz val="11"/>
      <color rgb="FFFF0000"/>
      <name val="Calibri"/>
      <family val="2"/>
      <scheme val="minor"/>
    </font>
    <font>
      <b/>
      <i/>
      <sz val="11"/>
      <color indexed="81"/>
      <name val="Segoe UI"/>
      <family val="2"/>
    </font>
    <font>
      <i/>
      <sz val="9"/>
      <color indexed="81"/>
      <name val="Segoe UI"/>
      <family val="2"/>
    </font>
    <font>
      <sz val="8"/>
      <name val="Calibri"/>
      <family val="2"/>
      <scheme val="minor"/>
    </font>
    <font>
      <b/>
      <sz val="10"/>
      <name val="Calibri"/>
      <family val="2"/>
      <scheme val="minor"/>
    </font>
    <font>
      <b/>
      <sz val="12"/>
      <name val="Calibri"/>
      <family val="2"/>
      <scheme val="minor"/>
    </font>
    <font>
      <b/>
      <sz val="8"/>
      <name val="Calibri"/>
      <family val="2"/>
      <scheme val="minor"/>
    </font>
    <font>
      <sz val="10"/>
      <name val="Calibri"/>
      <family val="2"/>
      <scheme val="minor"/>
    </font>
    <font>
      <i/>
      <sz val="11"/>
      <color theme="3" tint="0.39997558519241921"/>
      <name val="Calibri"/>
      <family val="2"/>
      <scheme val="minor"/>
    </font>
    <font>
      <sz val="11"/>
      <color theme="3" tint="0.39997558519241921"/>
      <name val="Calibri"/>
      <family val="2"/>
      <scheme val="minor"/>
    </font>
    <font>
      <i/>
      <sz val="11"/>
      <name val="Calibri"/>
      <family val="2"/>
      <scheme val="minor"/>
    </font>
    <font>
      <b/>
      <sz val="11"/>
      <name val="Calibri"/>
      <family val="2"/>
      <scheme val="minor"/>
    </font>
    <font>
      <b/>
      <i/>
      <sz val="11"/>
      <color theme="9" tint="-0.499984740745262"/>
      <name val="Calibri"/>
      <family val="2"/>
      <scheme val="minor"/>
    </font>
    <font>
      <b/>
      <i/>
      <sz val="10"/>
      <color theme="9" tint="-0.499984740745262"/>
      <name val="Arial"/>
      <family val="2"/>
    </font>
    <font>
      <b/>
      <sz val="16"/>
      <name val="Arial"/>
      <family val="2"/>
    </font>
    <font>
      <b/>
      <sz val="10"/>
      <name val="Courier"/>
    </font>
    <font>
      <sz val="10"/>
      <name val="Courier"/>
    </font>
    <font>
      <sz val="14"/>
      <name val="Arial"/>
      <family val="2"/>
    </font>
    <font>
      <u/>
      <sz val="12"/>
      <name val="Arial"/>
      <family val="2"/>
    </font>
    <font>
      <sz val="12"/>
      <name val="Bradley Hand ITC"/>
      <family val="4"/>
    </font>
    <font>
      <sz val="12"/>
      <name val="Calibri"/>
      <family val="2"/>
      <scheme val="minor"/>
    </font>
    <font>
      <sz val="11.5"/>
      <name val="Calibri"/>
      <family val="2"/>
      <scheme val="minor"/>
    </font>
    <font>
      <sz val="12"/>
      <color rgb="FFFF0000"/>
      <name val="Calibri"/>
      <family val="2"/>
      <scheme val="minor"/>
    </font>
    <font>
      <sz val="10"/>
      <color rgb="FFFF0000"/>
      <name val="Calibri"/>
      <family val="2"/>
      <scheme val="minor"/>
    </font>
    <font>
      <b/>
      <i/>
      <sz val="11"/>
      <name val="Calibri"/>
      <family val="2"/>
      <scheme val="minor"/>
    </font>
    <font>
      <b/>
      <i/>
      <sz val="10"/>
      <name val="Arial"/>
      <family val="2"/>
    </font>
    <font>
      <sz val="11"/>
      <name val="Cambria"/>
      <family val="1"/>
      <scheme val="major"/>
    </font>
    <font>
      <u/>
      <sz val="11"/>
      <name val="Cambria"/>
      <family val="1"/>
      <scheme val="major"/>
    </font>
    <font>
      <b/>
      <u/>
      <sz val="10"/>
      <name val="Calibri"/>
      <family val="2"/>
      <scheme val="minor"/>
    </font>
    <font>
      <b/>
      <sz val="9"/>
      <name val="Calibri"/>
      <family val="2"/>
      <scheme val="minor"/>
    </font>
    <font>
      <sz val="9"/>
      <name val="Calibri"/>
      <family val="2"/>
      <scheme val="minor"/>
    </font>
    <font>
      <b/>
      <i/>
      <sz val="12"/>
      <name val="Calibri"/>
      <family val="2"/>
      <scheme val="minor"/>
    </font>
    <font>
      <b/>
      <u/>
      <sz val="10"/>
      <color theme="1"/>
      <name val="Calibri"/>
      <family val="2"/>
      <scheme val="minor"/>
    </font>
    <font>
      <sz val="12"/>
      <color theme="1"/>
      <name val="Calibri"/>
      <family val="2"/>
      <scheme val="minor"/>
    </font>
    <font>
      <b/>
      <sz val="12"/>
      <color theme="1"/>
      <name val="Calibri"/>
      <family val="2"/>
      <scheme val="minor"/>
    </font>
    <font>
      <b/>
      <sz val="10"/>
      <color theme="1"/>
      <name val="Calibri"/>
      <family val="2"/>
      <scheme val="minor"/>
    </font>
    <font>
      <b/>
      <sz val="8"/>
      <color theme="1"/>
      <name val="Calibri"/>
      <family val="2"/>
      <scheme val="minor"/>
    </font>
    <font>
      <sz val="14"/>
      <color theme="1"/>
      <name val="Calibri"/>
      <family val="2"/>
      <scheme val="minor"/>
    </font>
    <font>
      <b/>
      <u/>
      <sz val="12"/>
      <name val="Calibri"/>
      <family val="2"/>
      <scheme val="minor"/>
    </font>
    <font>
      <b/>
      <sz val="18"/>
      <name val="Calibri"/>
      <family val="2"/>
      <scheme val="minor"/>
    </font>
    <font>
      <b/>
      <sz val="16"/>
      <name val="Calibri"/>
      <family val="2"/>
      <scheme val="minor"/>
    </font>
    <font>
      <b/>
      <sz val="11"/>
      <color rgb="FF000000"/>
      <name val="Calibri"/>
      <family val="2"/>
      <scheme val="minor"/>
    </font>
    <font>
      <sz val="11"/>
      <color rgb="FF000000"/>
      <name val="Calibri"/>
      <family val="2"/>
      <scheme val="minor"/>
    </font>
    <font>
      <i/>
      <sz val="10"/>
      <color theme="1"/>
      <name val="Calibri"/>
      <family val="2"/>
      <scheme val="minor"/>
    </font>
    <font>
      <sz val="11"/>
      <color theme="0" tint="-0.499984740745262"/>
      <name val="Calibri"/>
      <family val="2"/>
      <scheme val="minor"/>
    </font>
    <font>
      <b/>
      <sz val="12"/>
      <color theme="1"/>
      <name val="Arial"/>
      <family val="2"/>
    </font>
    <font>
      <b/>
      <u/>
      <sz val="18"/>
      <name val="Calibri"/>
      <family val="2"/>
      <scheme val="minor"/>
    </font>
    <font>
      <b/>
      <sz val="22"/>
      <name val="Calibri"/>
      <family val="2"/>
      <scheme val="minor"/>
    </font>
    <font>
      <b/>
      <sz val="11"/>
      <color theme="1"/>
      <name val="Arial"/>
      <family val="2"/>
    </font>
    <font>
      <sz val="10"/>
      <color theme="1"/>
      <name val="Arial"/>
      <family val="2"/>
    </font>
    <font>
      <b/>
      <u/>
      <sz val="11"/>
      <color theme="1"/>
      <name val="Calibri"/>
      <family val="2"/>
      <scheme val="minor"/>
    </font>
    <font>
      <sz val="10"/>
      <color theme="0" tint="-0.499984740745262"/>
      <name val="Arial"/>
      <family val="2"/>
    </font>
    <font>
      <b/>
      <sz val="10"/>
      <color theme="0" tint="-0.499984740745262"/>
      <name val="Calibri"/>
      <family val="2"/>
      <scheme val="minor"/>
    </font>
    <font>
      <b/>
      <sz val="11"/>
      <color theme="1" tint="0.34998626667073579"/>
      <name val="Calibri"/>
      <family val="2"/>
      <scheme val="minor"/>
    </font>
    <font>
      <b/>
      <sz val="11"/>
      <color theme="0" tint="-0.499984740745262"/>
      <name val="Calibri"/>
      <family val="2"/>
      <scheme val="minor"/>
    </font>
    <font>
      <b/>
      <i/>
      <sz val="10"/>
      <color theme="9" tint="-0.499984740745262"/>
      <name val="Calibri"/>
      <family val="2"/>
      <scheme val="minor"/>
    </font>
    <font>
      <i/>
      <sz val="16"/>
      <name val="Calibri"/>
      <family val="2"/>
      <scheme val="minor"/>
    </font>
    <font>
      <i/>
      <sz val="16"/>
      <color theme="1"/>
      <name val="Calibri"/>
      <family val="2"/>
      <scheme val="minor"/>
    </font>
    <font>
      <b/>
      <sz val="14"/>
      <name val="Calibri"/>
      <family val="2"/>
      <scheme val="minor"/>
    </font>
    <font>
      <b/>
      <i/>
      <sz val="11"/>
      <color theme="1"/>
      <name val="Calibri"/>
      <family val="2"/>
      <scheme val="minor"/>
    </font>
  </fonts>
  <fills count="14">
    <fill>
      <patternFill patternType="none"/>
    </fill>
    <fill>
      <patternFill patternType="gray125"/>
    </fill>
    <fill>
      <patternFill patternType="solid">
        <fgColor indexed="9"/>
        <bgColor indexed="64"/>
      </patternFill>
    </fill>
    <fill>
      <patternFill patternType="gray0625"/>
    </fill>
    <fill>
      <patternFill patternType="solid">
        <fgColor indexed="6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style="thin">
        <color indexed="64"/>
      </right>
      <top/>
      <bottom/>
      <diagonal/>
    </border>
    <border>
      <left/>
      <right/>
      <top/>
      <bottom style="hair">
        <color indexed="64"/>
      </bottom>
      <diagonal/>
    </border>
    <border>
      <left/>
      <right/>
      <top style="thin">
        <color indexed="64"/>
      </top>
      <bottom style="thin">
        <color indexed="64"/>
      </bottom>
      <diagonal/>
    </border>
    <border>
      <left/>
      <right/>
      <top/>
      <bottom style="dotted">
        <color auto="1"/>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bottom style="thick">
        <color indexed="64"/>
      </bottom>
      <diagonal/>
    </border>
    <border>
      <left style="thick">
        <color indexed="64"/>
      </left>
      <right/>
      <top style="thick">
        <color indexed="64"/>
      </top>
      <bottom style="thick">
        <color indexed="64"/>
      </bottom>
      <diagonal/>
    </border>
    <border>
      <left/>
      <right/>
      <top/>
      <bottom style="double">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style="thick">
        <color indexed="64"/>
      </bottom>
      <diagonal/>
    </border>
    <border>
      <left/>
      <right style="thick">
        <color indexed="64"/>
      </right>
      <top/>
      <bottom/>
      <diagonal/>
    </border>
    <border>
      <left style="hair">
        <color auto="1"/>
      </left>
      <right/>
      <top/>
      <bottom style="hair">
        <color auto="1"/>
      </bottom>
      <diagonal/>
    </border>
    <border>
      <left/>
      <right style="thin">
        <color indexed="64"/>
      </right>
      <top/>
      <bottom style="dotted">
        <color indexed="64"/>
      </bottom>
      <diagonal/>
    </border>
    <border>
      <left/>
      <right style="hair">
        <color auto="1"/>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ck">
        <color indexed="64"/>
      </right>
      <top/>
      <bottom style="thick">
        <color indexed="64"/>
      </bottom>
      <diagonal/>
    </border>
    <border>
      <left/>
      <right/>
      <top style="thin">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style="medium">
        <color indexed="64"/>
      </top>
      <bottom style="medium">
        <color indexed="64"/>
      </bottom>
      <diagonal/>
    </border>
    <border>
      <left/>
      <right style="hair">
        <color auto="1"/>
      </right>
      <top/>
      <bottom style="medium">
        <color indexed="64"/>
      </bottom>
      <diagonal/>
    </border>
    <border>
      <left style="hair">
        <color auto="1"/>
      </left>
      <right/>
      <top style="hair">
        <color auto="1"/>
      </top>
      <bottom style="medium">
        <color indexed="64"/>
      </bottom>
      <diagonal/>
    </border>
    <border>
      <left/>
      <right style="hair">
        <color auto="1"/>
      </right>
      <top style="hair">
        <color auto="1"/>
      </top>
      <bottom style="medium">
        <color indexed="64"/>
      </bottom>
      <diagonal/>
    </border>
    <border>
      <left/>
      <right/>
      <top style="hair">
        <color indexed="64"/>
      </top>
      <bottom style="medium">
        <color indexed="64"/>
      </bottom>
      <diagonal/>
    </border>
    <border>
      <left style="hair">
        <color auto="1"/>
      </left>
      <right/>
      <top/>
      <bottom style="thin">
        <color indexed="64"/>
      </bottom>
      <diagonal/>
    </border>
    <border>
      <left style="hair">
        <color indexed="64"/>
      </left>
      <right/>
      <top style="medium">
        <color indexed="64"/>
      </top>
      <bottom style="medium">
        <color indexed="64"/>
      </bottom>
      <diagonal/>
    </border>
    <border>
      <left/>
      <right style="medium">
        <color indexed="64"/>
      </right>
      <top/>
      <bottom style="thin">
        <color indexed="64"/>
      </bottom>
      <diagonal/>
    </border>
    <border>
      <left style="hair">
        <color auto="1"/>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166" fontId="2" fillId="0" borderId="1">
      <alignment horizontal="center"/>
    </xf>
    <xf numFmtId="170" fontId="2" fillId="0" borderId="0" applyFont="0" applyFill="0" applyBorder="0" applyAlignment="0" applyProtection="0"/>
    <xf numFmtId="49" fontId="2" fillId="0" borderId="0"/>
    <xf numFmtId="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cellStyleXfs>
  <cellXfs count="1292">
    <xf numFmtId="0" fontId="0" fillId="0" borderId="0" xfId="0"/>
    <xf numFmtId="0" fontId="2" fillId="0" borderId="0" xfId="3"/>
    <xf numFmtId="0" fontId="2" fillId="0" borderId="15" xfId="3" applyBorder="1"/>
    <xf numFmtId="0" fontId="2" fillId="0" borderId="0" xfId="3" applyAlignment="1">
      <alignment horizontal="right"/>
    </xf>
    <xf numFmtId="167" fontId="2" fillId="0" borderId="0" xfId="3" applyNumberFormat="1"/>
    <xf numFmtId="169" fontId="2" fillId="0" borderId="0" xfId="3" applyNumberFormat="1"/>
    <xf numFmtId="49" fontId="8" fillId="0" borderId="0" xfId="3" applyNumberFormat="1" applyFont="1"/>
    <xf numFmtId="49" fontId="2" fillId="0" borderId="0" xfId="3" applyNumberFormat="1"/>
    <xf numFmtId="0" fontId="3" fillId="0" borderId="0" xfId="3" applyFont="1"/>
    <xf numFmtId="49" fontId="9" fillId="0" borderId="0" xfId="6" applyFont="1"/>
    <xf numFmtId="0" fontId="4" fillId="0" borderId="0" xfId="3" applyFont="1"/>
    <xf numFmtId="0" fontId="9" fillId="0" borderId="0" xfId="3" applyFont="1"/>
    <xf numFmtId="0" fontId="2" fillId="0" borderId="0" xfId="3" applyAlignment="1">
      <alignment horizontal="left"/>
    </xf>
    <xf numFmtId="4" fontId="3" fillId="0" borderId="0" xfId="3" applyNumberFormat="1" applyFont="1"/>
    <xf numFmtId="0" fontId="2" fillId="0" borderId="0" xfId="3" applyAlignment="1">
      <alignment horizontal="center"/>
    </xf>
    <xf numFmtId="167" fontId="3" fillId="0" borderId="0" xfId="3" applyNumberFormat="1" applyFont="1" applyAlignment="1">
      <alignment horizontal="right"/>
    </xf>
    <xf numFmtId="0" fontId="2" fillId="0" borderId="16" xfId="3" applyBorder="1"/>
    <xf numFmtId="0" fontId="2" fillId="0" borderId="0" xfId="3" applyAlignment="1">
      <alignment vertical="top" wrapText="1"/>
    </xf>
    <xf numFmtId="0" fontId="3" fillId="0" borderId="0" xfId="3" applyFont="1" applyAlignment="1">
      <alignment horizontal="left" vertical="top" wrapText="1"/>
    </xf>
    <xf numFmtId="0" fontId="2" fillId="0" borderId="0" xfId="3" applyAlignment="1">
      <alignment horizontal="left" vertical="top" wrapText="1"/>
    </xf>
    <xf numFmtId="0" fontId="2" fillId="3" borderId="0" xfId="3" applyFill="1"/>
    <xf numFmtId="16" fontId="2" fillId="0" borderId="0" xfId="3" applyNumberFormat="1"/>
    <xf numFmtId="49" fontId="2" fillId="0" borderId="7" xfId="3" applyNumberFormat="1" applyBorder="1"/>
    <xf numFmtId="0" fontId="2" fillId="0" borderId="16" xfId="3" applyBorder="1" applyAlignment="1">
      <alignment horizontal="left" vertical="top" wrapText="1"/>
    </xf>
    <xf numFmtId="49" fontId="3" fillId="0" borderId="0" xfId="3" applyNumberFormat="1" applyFont="1" applyAlignment="1">
      <alignment horizontal="left"/>
    </xf>
    <xf numFmtId="0" fontId="3" fillId="0" borderId="0" xfId="3" applyFont="1" applyAlignment="1">
      <alignment horizontal="left"/>
    </xf>
    <xf numFmtId="16" fontId="2" fillId="0" borderId="0" xfId="3" applyNumberFormat="1" applyAlignment="1">
      <alignment horizontal="left"/>
    </xf>
    <xf numFmtId="0" fontId="3" fillId="0" borderId="3" xfId="3" applyFont="1" applyBorder="1" applyAlignment="1" applyProtection="1">
      <alignment horizontal="left"/>
      <protection locked="0"/>
    </xf>
    <xf numFmtId="0" fontId="3" fillId="0" borderId="3" xfId="3" applyFont="1" applyBorder="1" applyProtection="1">
      <protection locked="0"/>
    </xf>
    <xf numFmtId="167" fontId="3" fillId="0" borderId="0" xfId="3" applyNumberFormat="1" applyFont="1"/>
    <xf numFmtId="167" fontId="3" fillId="0" borderId="22" xfId="3" applyNumberFormat="1" applyFont="1" applyBorder="1"/>
    <xf numFmtId="0" fontId="3" fillId="0" borderId="0" xfId="3" applyFont="1" applyAlignment="1">
      <alignment horizontal="center"/>
    </xf>
    <xf numFmtId="0" fontId="3" fillId="0" borderId="17" xfId="3" applyFont="1" applyBorder="1" applyAlignment="1" applyProtection="1">
      <alignment horizontal="left"/>
      <protection locked="0"/>
    </xf>
    <xf numFmtId="0" fontId="4" fillId="0" borderId="3" xfId="3" applyFont="1" applyBorder="1" applyProtection="1">
      <protection locked="0"/>
    </xf>
    <xf numFmtId="0" fontId="3" fillId="0" borderId="16" xfId="3" applyFont="1" applyBorder="1"/>
    <xf numFmtId="49" fontId="2" fillId="0" borderId="0" xfId="3" quotePrefix="1" applyNumberFormat="1"/>
    <xf numFmtId="0" fontId="2" fillId="0" borderId="0" xfId="3" applyAlignment="1">
      <alignment horizontal="center" vertical="justify"/>
    </xf>
    <xf numFmtId="0" fontId="7" fillId="0" borderId="0" xfId="3" applyFont="1"/>
    <xf numFmtId="0" fontId="5" fillId="0" borderId="0" xfId="3" applyFont="1" applyAlignment="1">
      <alignment horizontal="center"/>
    </xf>
    <xf numFmtId="171" fontId="2" fillId="0" borderId="0" xfId="3" applyNumberFormat="1"/>
    <xf numFmtId="169" fontId="0" fillId="0" borderId="0" xfId="5" applyNumberFormat="1" applyFont="1"/>
    <xf numFmtId="169" fontId="3" fillId="0" borderId="0" xfId="3" applyNumberFormat="1" applyFont="1"/>
    <xf numFmtId="0" fontId="2" fillId="0" borderId="0" xfId="3" applyProtection="1">
      <protection locked="0"/>
    </xf>
    <xf numFmtId="49" fontId="9" fillId="2" borderId="18" xfId="3" applyNumberFormat="1" applyFont="1" applyFill="1" applyBorder="1" applyAlignment="1">
      <alignment horizontal="center"/>
    </xf>
    <xf numFmtId="167" fontId="2" fillId="2" borderId="10" xfId="5" applyNumberFormat="1" applyFill="1" applyBorder="1"/>
    <xf numFmtId="168" fontId="2" fillId="0" borderId="0" xfId="3" applyNumberFormat="1" applyAlignment="1">
      <alignment horizontal="right"/>
    </xf>
    <xf numFmtId="167" fontId="2" fillId="0" borderId="10" xfId="5" applyNumberFormat="1" applyBorder="1"/>
    <xf numFmtId="170" fontId="2" fillId="0" borderId="0" xfId="5" applyAlignment="1">
      <alignment horizontal="center"/>
    </xf>
    <xf numFmtId="167" fontId="2" fillId="2" borderId="24" xfId="5" applyNumberFormat="1" applyFill="1" applyBorder="1" applyAlignment="1">
      <alignment horizontal="right"/>
    </xf>
    <xf numFmtId="167" fontId="4" fillId="0" borderId="15" xfId="5" applyNumberFormat="1" applyFont="1" applyBorder="1"/>
    <xf numFmtId="168" fontId="9" fillId="0" borderId="0" xfId="3" applyNumberFormat="1" applyFont="1"/>
    <xf numFmtId="0" fontId="3" fillId="0" borderId="0" xfId="3" applyFont="1" applyAlignment="1">
      <alignment horizontal="right"/>
    </xf>
    <xf numFmtId="49" fontId="17" fillId="2" borderId="0" xfId="3" applyNumberFormat="1" applyFont="1" applyFill="1" applyAlignment="1">
      <alignment horizontal="center"/>
    </xf>
    <xf numFmtId="167" fontId="2" fillId="0" borderId="28" xfId="5" applyNumberFormat="1" applyBorder="1"/>
    <xf numFmtId="167" fontId="2" fillId="2" borderId="0" xfId="5" applyNumberFormat="1" applyFill="1" applyAlignment="1">
      <alignment horizontal="right"/>
    </xf>
    <xf numFmtId="167" fontId="2" fillId="2" borderId="18" xfId="5" applyNumberFormat="1" applyFill="1" applyBorder="1"/>
    <xf numFmtId="0" fontId="11" fillId="0" borderId="0" xfId="3" applyFont="1"/>
    <xf numFmtId="0" fontId="2" fillId="0" borderId="1" xfId="3" applyBorder="1" applyAlignment="1">
      <alignment horizontal="center"/>
    </xf>
    <xf numFmtId="49" fontId="2" fillId="0" borderId="1" xfId="3" applyNumberFormat="1" applyBorder="1"/>
    <xf numFmtId="0" fontId="2" fillId="0" borderId="1" xfId="3" applyBorder="1"/>
    <xf numFmtId="1" fontId="3" fillId="0" borderId="0" xfId="3" applyNumberFormat="1" applyFont="1"/>
    <xf numFmtId="167" fontId="10" fillId="0" borderId="0" xfId="5" applyNumberFormat="1" applyFont="1" applyAlignment="1">
      <alignment horizontal="left"/>
    </xf>
    <xf numFmtId="0" fontId="21" fillId="0" borderId="0" xfId="3" applyFont="1"/>
    <xf numFmtId="2" fontId="3" fillId="0" borderId="1" xfId="3" applyNumberFormat="1" applyFont="1" applyBorder="1" applyAlignment="1" applyProtection="1">
      <alignment horizontal="right"/>
      <protection locked="0"/>
    </xf>
    <xf numFmtId="0" fontId="12" fillId="0" borderId="0" xfId="3" applyFont="1"/>
    <xf numFmtId="1" fontId="3" fillId="0" borderId="0" xfId="3" applyNumberFormat="1" applyFont="1" applyAlignment="1">
      <alignment horizontal="center"/>
    </xf>
    <xf numFmtId="44" fontId="2" fillId="0" borderId="0" xfId="1" applyFont="1" applyAlignment="1" applyProtection="1">
      <alignment horizontal="left"/>
      <protection locked="0"/>
    </xf>
    <xf numFmtId="44" fontId="2" fillId="0" borderId="0" xfId="5" applyNumberFormat="1" applyAlignment="1">
      <alignment horizontal="right"/>
    </xf>
    <xf numFmtId="49" fontId="3" fillId="0" borderId="0" xfId="3" applyNumberFormat="1" applyFont="1" applyAlignment="1" applyProtection="1">
      <alignment horizontal="left"/>
      <protection locked="0"/>
    </xf>
    <xf numFmtId="0" fontId="2" fillId="0" borderId="0" xfId="3" applyAlignment="1">
      <alignment horizontal="center" vertical="top" wrapText="1"/>
    </xf>
    <xf numFmtId="1" fontId="2" fillId="0" borderId="18" xfId="3" applyNumberFormat="1" applyBorder="1" applyAlignment="1" applyProtection="1">
      <alignment horizontal="left"/>
      <protection locked="0"/>
    </xf>
    <xf numFmtId="0" fontId="3" fillId="0" borderId="38" xfId="3" applyFont="1" applyBorder="1" applyAlignment="1">
      <alignment horizontal="left"/>
    </xf>
    <xf numFmtId="0" fontId="2" fillId="0" borderId="17" xfId="3" applyBorder="1" applyAlignment="1">
      <alignment horizontal="center"/>
    </xf>
    <xf numFmtId="0" fontId="3" fillId="0" borderId="26" xfId="3" applyFont="1" applyBorder="1" applyProtection="1">
      <protection locked="0"/>
    </xf>
    <xf numFmtId="16" fontId="2" fillId="0" borderId="16" xfId="3" applyNumberFormat="1" applyBorder="1" applyAlignment="1">
      <alignment horizontal="left" vertical="top" wrapText="1"/>
    </xf>
    <xf numFmtId="0" fontId="3" fillId="0" borderId="28" xfId="3" applyFont="1" applyBorder="1"/>
    <xf numFmtId="0" fontId="0" fillId="0" borderId="1" xfId="0" applyBorder="1"/>
    <xf numFmtId="0" fontId="0" fillId="0" borderId="29" xfId="0" applyBorder="1"/>
    <xf numFmtId="0" fontId="0" fillId="0" borderId="0" xfId="0" applyAlignment="1">
      <alignment horizontal="right"/>
    </xf>
    <xf numFmtId="0" fontId="23" fillId="0" borderId="0" xfId="0" applyFont="1" applyAlignment="1">
      <alignment horizontal="right"/>
    </xf>
    <xf numFmtId="0" fontId="0" fillId="0" borderId="15" xfId="0" applyBorder="1"/>
    <xf numFmtId="0" fontId="0" fillId="0" borderId="28" xfId="0" applyBorder="1"/>
    <xf numFmtId="0" fontId="0" fillId="0" borderId="50" xfId="0" applyBorder="1"/>
    <xf numFmtId="0" fontId="23" fillId="0" borderId="56" xfId="0" applyFont="1" applyBorder="1" applyAlignment="1">
      <alignment vertical="center"/>
    </xf>
    <xf numFmtId="0" fontId="23" fillId="0" borderId="15" xfId="0" applyFont="1" applyBorder="1"/>
    <xf numFmtId="0" fontId="23" fillId="0" borderId="54" xfId="0" applyFont="1" applyBorder="1" applyAlignment="1">
      <alignment vertical="center"/>
    </xf>
    <xf numFmtId="0" fontId="23" fillId="0" borderId="0" xfId="0" applyFont="1"/>
    <xf numFmtId="0" fontId="25" fillId="5" borderId="32" xfId="0" applyFont="1" applyFill="1" applyBorder="1" applyAlignment="1" applyProtection="1">
      <alignment wrapText="1"/>
      <protection locked="0"/>
    </xf>
    <xf numFmtId="0" fontId="0" fillId="0" borderId="43" xfId="0" applyBorder="1" applyAlignment="1">
      <alignment vertical="center"/>
    </xf>
    <xf numFmtId="0" fontId="0" fillId="0" borderId="47" xfId="0" applyBorder="1"/>
    <xf numFmtId="0" fontId="23" fillId="0" borderId="45" xfId="0" applyFont="1" applyBorder="1" applyAlignment="1">
      <alignment vertical="center"/>
    </xf>
    <xf numFmtId="0" fontId="23" fillId="0" borderId="57" xfId="0" applyFont="1" applyBorder="1"/>
    <xf numFmtId="9" fontId="0" fillId="0" borderId="0" xfId="0" applyNumberFormat="1"/>
    <xf numFmtId="0" fontId="0" fillId="0" borderId="54" xfId="0" applyBorder="1" applyAlignment="1">
      <alignment vertical="center"/>
    </xf>
    <xf numFmtId="0" fontId="2" fillId="0" borderId="0" xfId="0" applyFont="1" applyAlignment="1">
      <alignment horizontal="left"/>
    </xf>
    <xf numFmtId="0" fontId="2" fillId="0" borderId="0" xfId="0" applyFont="1" applyAlignment="1">
      <alignment horizontal="center"/>
    </xf>
    <xf numFmtId="44" fontId="3" fillId="0" borderId="0" xfId="5" applyNumberFormat="1" applyFont="1" applyBorder="1" applyAlignment="1" applyProtection="1">
      <alignment horizontal="right"/>
      <protection locked="0"/>
    </xf>
    <xf numFmtId="175" fontId="2" fillId="0" borderId="15" xfId="3" applyNumberFormat="1" applyBorder="1" applyProtection="1">
      <protection locked="0"/>
    </xf>
    <xf numFmtId="14" fontId="2" fillId="0" borderId="15" xfId="3" applyNumberFormat="1" applyBorder="1" applyProtection="1">
      <protection locked="0"/>
    </xf>
    <xf numFmtId="0" fontId="2" fillId="0" borderId="15" xfId="3" applyBorder="1" applyProtection="1">
      <protection locked="0"/>
    </xf>
    <xf numFmtId="44" fontId="2" fillId="0" borderId="15" xfId="3" applyNumberFormat="1" applyBorder="1" applyProtection="1">
      <protection locked="0"/>
    </xf>
    <xf numFmtId="0" fontId="3" fillId="0" borderId="15" xfId="3" applyFont="1" applyBorder="1" applyAlignment="1" applyProtection="1">
      <alignment horizontal="center"/>
      <protection locked="0"/>
    </xf>
    <xf numFmtId="0" fontId="2" fillId="0" borderId="65" xfId="3" applyBorder="1" applyProtection="1">
      <protection locked="0"/>
    </xf>
    <xf numFmtId="0" fontId="2" fillId="0" borderId="66" xfId="3" applyBorder="1" applyProtection="1">
      <protection locked="0"/>
    </xf>
    <xf numFmtId="4" fontId="3" fillId="0" borderId="3" xfId="3" applyNumberFormat="1" applyFont="1" applyBorder="1"/>
    <xf numFmtId="44" fontId="2" fillId="0" borderId="65" xfId="5" applyNumberFormat="1" applyBorder="1" applyAlignment="1" applyProtection="1">
      <alignment horizontal="right"/>
      <protection locked="0"/>
    </xf>
    <xf numFmtId="44" fontId="3" fillId="0" borderId="68" xfId="1" applyFont="1" applyBorder="1" applyAlignment="1" applyProtection="1">
      <alignment horizontal="center"/>
      <protection locked="0"/>
    </xf>
    <xf numFmtId="0" fontId="2" fillId="0" borderId="68" xfId="3" applyBorder="1" applyAlignment="1" applyProtection="1">
      <alignment horizontal="center"/>
      <protection locked="0"/>
    </xf>
    <xf numFmtId="0" fontId="3" fillId="0" borderId="15" xfId="3" applyFont="1" applyBorder="1" applyProtection="1">
      <protection locked="0"/>
    </xf>
    <xf numFmtId="44" fontId="3" fillId="0" borderId="72" xfId="5" applyNumberFormat="1" applyFont="1" applyBorder="1" applyAlignment="1" applyProtection="1">
      <alignment horizontal="center"/>
      <protection locked="0"/>
    </xf>
    <xf numFmtId="0" fontId="2" fillId="0" borderId="65" xfId="3" applyBorder="1" applyAlignment="1" applyProtection="1">
      <alignment horizontal="right" vertical="top"/>
      <protection locked="0"/>
    </xf>
    <xf numFmtId="49" fontId="3" fillId="0" borderId="0" xfId="3" applyNumberFormat="1" applyFont="1"/>
    <xf numFmtId="44" fontId="3" fillId="0" borderId="0" xfId="3" applyNumberFormat="1" applyFont="1"/>
    <xf numFmtId="0" fontId="2" fillId="0" borderId="70" xfId="3" applyBorder="1" applyProtection="1">
      <protection locked="0"/>
    </xf>
    <xf numFmtId="0" fontId="2" fillId="0" borderId="0" xfId="3" applyAlignment="1" applyProtection="1">
      <alignment vertical="top" wrapText="1"/>
      <protection locked="0"/>
    </xf>
    <xf numFmtId="0" fontId="0" fillId="0" borderId="75" xfId="0" applyBorder="1"/>
    <xf numFmtId="0" fontId="0" fillId="0" borderId="76" xfId="0" applyBorder="1"/>
    <xf numFmtId="0" fontId="0" fillId="0" borderId="25" xfId="0" applyBorder="1"/>
    <xf numFmtId="0" fontId="0" fillId="6" borderId="0" xfId="0" applyFill="1"/>
    <xf numFmtId="0" fontId="0" fillId="7" borderId="0" xfId="0" applyFill="1"/>
    <xf numFmtId="0" fontId="0" fillId="0" borderId="77" xfId="0" applyBorder="1" applyAlignment="1">
      <alignment horizontal="right"/>
    </xf>
    <xf numFmtId="0" fontId="0" fillId="0" borderId="6" xfId="0" applyBorder="1" applyAlignment="1">
      <alignment horizontal="right"/>
    </xf>
    <xf numFmtId="0" fontId="0" fillId="0" borderId="7" xfId="0" applyBorder="1"/>
    <xf numFmtId="0" fontId="0" fillId="0" borderId="7" xfId="0" applyBorder="1" applyAlignment="1">
      <alignment horizontal="right"/>
    </xf>
    <xf numFmtId="0" fontId="0" fillId="0" borderId="12" xfId="0" applyBorder="1" applyAlignment="1">
      <alignment horizontal="right"/>
    </xf>
    <xf numFmtId="0" fontId="0" fillId="0" borderId="16" xfId="0" applyBorder="1"/>
    <xf numFmtId="0" fontId="0" fillId="0" borderId="9" xfId="0" applyBorder="1" applyAlignment="1">
      <alignment horizontal="right"/>
    </xf>
    <xf numFmtId="0" fontId="0" fillId="0" borderId="10" xfId="0" applyBorder="1"/>
    <xf numFmtId="0" fontId="0" fillId="0" borderId="10" xfId="0" applyBorder="1" applyAlignment="1">
      <alignment horizontal="right"/>
    </xf>
    <xf numFmtId="0" fontId="0" fillId="0" borderId="0" xfId="0" applyAlignment="1">
      <alignment horizontal="center"/>
    </xf>
    <xf numFmtId="0" fontId="3" fillId="0" borderId="0" xfId="3" applyFont="1" applyAlignment="1">
      <alignment vertical="top"/>
    </xf>
    <xf numFmtId="0" fontId="12" fillId="0" borderId="75" xfId="3" applyFont="1" applyBorder="1" applyAlignment="1">
      <alignment horizontal="left"/>
    </xf>
    <xf numFmtId="0" fontId="2" fillId="0" borderId="28" xfId="3" applyBorder="1" applyAlignment="1">
      <alignment horizontal="left"/>
    </xf>
    <xf numFmtId="1" fontId="0" fillId="7" borderId="8" xfId="0" applyNumberFormat="1" applyFill="1" applyBorder="1"/>
    <xf numFmtId="0" fontId="0" fillId="5" borderId="0" xfId="0" applyFill="1"/>
    <xf numFmtId="0" fontId="2" fillId="0" borderId="1" xfId="3" applyBorder="1" applyAlignment="1">
      <alignment horizontal="center" vertical="center"/>
    </xf>
    <xf numFmtId="0" fontId="0" fillId="0" borderId="1" xfId="0" applyBorder="1" applyAlignment="1">
      <alignment horizontal="left"/>
    </xf>
    <xf numFmtId="1" fontId="0" fillId="7" borderId="7" xfId="0" applyNumberFormat="1" applyFill="1" applyBorder="1"/>
    <xf numFmtId="0" fontId="0" fillId="8" borderId="7" xfId="0" applyFill="1" applyBorder="1"/>
    <xf numFmtId="0" fontId="29" fillId="8" borderId="0" xfId="0" applyFont="1" applyFill="1"/>
    <xf numFmtId="0" fontId="29" fillId="7" borderId="7" xfId="0" applyFont="1" applyFill="1" applyBorder="1"/>
    <xf numFmtId="0" fontId="0" fillId="0" borderId="77" xfId="0" applyBorder="1"/>
    <xf numFmtId="49" fontId="0" fillId="0" borderId="0" xfId="0" applyNumberFormat="1"/>
    <xf numFmtId="8" fontId="0" fillId="0" borderId="0" xfId="0" applyNumberFormat="1"/>
    <xf numFmtId="0" fontId="0" fillId="0" borderId="78" xfId="0" applyBorder="1"/>
    <xf numFmtId="0" fontId="0" fillId="0" borderId="79" xfId="0" applyBorder="1"/>
    <xf numFmtId="0" fontId="0" fillId="9" borderId="0" xfId="0" applyFill="1"/>
    <xf numFmtId="49" fontId="0" fillId="9" borderId="0" xfId="0" applyNumberFormat="1" applyFill="1"/>
    <xf numFmtId="8" fontId="3" fillId="0" borderId="0" xfId="5" applyNumberFormat="1" applyFont="1" applyBorder="1" applyAlignment="1">
      <alignment horizontal="center"/>
    </xf>
    <xf numFmtId="49" fontId="3" fillId="0" borderId="15" xfId="3" applyNumberFormat="1" applyFont="1" applyBorder="1" applyAlignment="1" applyProtection="1">
      <alignment horizontal="left"/>
      <protection locked="0"/>
    </xf>
    <xf numFmtId="44" fontId="2" fillId="0" borderId="50" xfId="1" applyFont="1" applyBorder="1"/>
    <xf numFmtId="175" fontId="2" fillId="0" borderId="0" xfId="3" applyNumberFormat="1"/>
    <xf numFmtId="44" fontId="2" fillId="0" borderId="0" xfId="3" applyNumberFormat="1"/>
    <xf numFmtId="44" fontId="3" fillId="4" borderId="0" xfId="1" applyFont="1" applyFill="1"/>
    <xf numFmtId="44" fontId="3" fillId="0" borderId="15" xfId="3" applyNumberFormat="1" applyFont="1" applyBorder="1" applyProtection="1">
      <protection locked="0"/>
    </xf>
    <xf numFmtId="44" fontId="3" fillId="0" borderId="50" xfId="3" applyNumberFormat="1" applyFont="1" applyBorder="1" applyProtection="1">
      <protection locked="0"/>
    </xf>
    <xf numFmtId="167" fontId="4" fillId="0" borderId="0" xfId="5" applyNumberFormat="1" applyFont="1" applyBorder="1"/>
    <xf numFmtId="0" fontId="31" fillId="0" borderId="0" xfId="0" applyFont="1"/>
    <xf numFmtId="0" fontId="29" fillId="0" borderId="2" xfId="0" applyFont="1" applyBorder="1"/>
    <xf numFmtId="49" fontId="3" fillId="0" borderId="15" xfId="3" applyNumberFormat="1" applyFont="1" applyBorder="1" applyProtection="1">
      <protection locked="0"/>
    </xf>
    <xf numFmtId="0" fontId="0" fillId="5" borderId="1" xfId="0" applyFill="1" applyBorder="1"/>
    <xf numFmtId="49" fontId="2" fillId="0" borderId="61" xfId="3" applyNumberFormat="1" applyBorder="1"/>
    <xf numFmtId="49" fontId="2" fillId="0" borderId="85" xfId="3" applyNumberFormat="1" applyBorder="1"/>
    <xf numFmtId="0" fontId="2" fillId="0" borderId="85" xfId="3" applyBorder="1"/>
    <xf numFmtId="0" fontId="0" fillId="0" borderId="85" xfId="0" applyBorder="1" applyAlignment="1">
      <alignment horizontal="left"/>
    </xf>
    <xf numFmtId="49" fontId="2" fillId="0" borderId="45" xfId="3" applyNumberFormat="1" applyBorder="1"/>
    <xf numFmtId="49" fontId="2" fillId="0" borderId="57" xfId="3" applyNumberFormat="1" applyBorder="1"/>
    <xf numFmtId="0" fontId="0" fillId="0" borderId="57" xfId="0" applyBorder="1"/>
    <xf numFmtId="0" fontId="23" fillId="0" borderId="0" xfId="0" applyFont="1" applyAlignment="1">
      <alignment horizontal="center"/>
    </xf>
    <xf numFmtId="49" fontId="2" fillId="0" borderId="1" xfId="3" applyNumberFormat="1" applyBorder="1" applyAlignment="1">
      <alignment horizontal="center"/>
    </xf>
    <xf numFmtId="0" fontId="0" fillId="0" borderId="1" xfId="0" applyBorder="1" applyAlignment="1">
      <alignment horizontal="center"/>
    </xf>
    <xf numFmtId="0" fontId="0" fillId="0" borderId="86" xfId="0" applyBorder="1" applyAlignment="1">
      <alignment horizontal="center"/>
    </xf>
    <xf numFmtId="0" fontId="0" fillId="0" borderId="49" xfId="0" applyBorder="1" applyAlignment="1">
      <alignment horizontal="center"/>
    </xf>
    <xf numFmtId="49" fontId="2" fillId="0" borderId="4" xfId="3" applyNumberFormat="1" applyBorder="1" applyAlignment="1">
      <alignment horizontal="center"/>
    </xf>
    <xf numFmtId="0" fontId="0" fillId="0" borderId="4" xfId="0" applyBorder="1"/>
    <xf numFmtId="0" fontId="0" fillId="0" borderId="62" xfId="0" applyBorder="1" applyAlignment="1">
      <alignment horizontal="center"/>
    </xf>
    <xf numFmtId="0" fontId="0" fillId="8" borderId="10" xfId="0" applyFill="1" applyBorder="1" applyAlignment="1">
      <alignment horizontal="center"/>
    </xf>
    <xf numFmtId="44" fontId="0" fillId="8" borderId="10" xfId="1" applyFont="1" applyFill="1" applyBorder="1" applyAlignment="1">
      <alignment horizontal="center"/>
    </xf>
    <xf numFmtId="0" fontId="0" fillId="8" borderId="11" xfId="0" applyFill="1" applyBorder="1" applyAlignment="1">
      <alignment horizontal="center"/>
    </xf>
    <xf numFmtId="0" fontId="28" fillId="0" borderId="0" xfId="0" applyFont="1"/>
    <xf numFmtId="16" fontId="0" fillId="0" borderId="0" xfId="0" applyNumberFormat="1"/>
    <xf numFmtId="0" fontId="0" fillId="5" borderId="77" xfId="0" applyFill="1" applyBorder="1" applyAlignment="1">
      <alignment horizontal="left"/>
    </xf>
    <xf numFmtId="0" fontId="0" fillId="5" borderId="25" xfId="0" applyFill="1" applyBorder="1"/>
    <xf numFmtId="0" fontId="0" fillId="5" borderId="78" xfId="0" applyFill="1" applyBorder="1" applyAlignment="1">
      <alignment horizontal="left"/>
    </xf>
    <xf numFmtId="0" fontId="0" fillId="5" borderId="15" xfId="0" applyFill="1" applyBorder="1"/>
    <xf numFmtId="0" fontId="0" fillId="5" borderId="79" xfId="0" applyFill="1" applyBorder="1"/>
    <xf numFmtId="8" fontId="0" fillId="6" borderId="0" xfId="0" applyNumberFormat="1" applyFill="1"/>
    <xf numFmtId="8" fontId="0" fillId="6" borderId="15" xfId="0" applyNumberFormat="1" applyFill="1" applyBorder="1"/>
    <xf numFmtId="0" fontId="2" fillId="0" borderId="0" xfId="0" applyFont="1"/>
    <xf numFmtId="0" fontId="2" fillId="0" borderId="0" xfId="0" applyFont="1" applyAlignment="1">
      <alignment horizontal="right"/>
    </xf>
    <xf numFmtId="167" fontId="2" fillId="0" borderId="0" xfId="5" applyNumberFormat="1" applyAlignment="1">
      <alignment horizontal="center"/>
    </xf>
    <xf numFmtId="167" fontId="2" fillId="2" borderId="0" xfId="5" applyNumberFormat="1" applyFill="1" applyAlignment="1" applyProtection="1">
      <alignment horizontal="right"/>
      <protection locked="0"/>
    </xf>
    <xf numFmtId="167" fontId="3" fillId="0" borderId="50" xfId="3" applyNumberFormat="1" applyFont="1" applyBorder="1" applyAlignment="1">
      <alignment horizontal="right"/>
    </xf>
    <xf numFmtId="0" fontId="29" fillId="0" borderId="0" xfId="3" applyFont="1"/>
    <xf numFmtId="0" fontId="31" fillId="0" borderId="0" xfId="3" applyFont="1"/>
    <xf numFmtId="0" fontId="39" fillId="0" borderId="0" xfId="3" applyFont="1"/>
    <xf numFmtId="0" fontId="40" fillId="0" borderId="0" xfId="3" applyFont="1"/>
    <xf numFmtId="0" fontId="41" fillId="0" borderId="0" xfId="3" applyFont="1"/>
    <xf numFmtId="0" fontId="29" fillId="0" borderId="0" xfId="3" applyFont="1" applyProtection="1">
      <protection locked="0"/>
    </xf>
    <xf numFmtId="14" fontId="29" fillId="0" borderId="0" xfId="3" applyNumberFormat="1" applyFont="1"/>
    <xf numFmtId="0" fontId="43" fillId="0" borderId="0" xfId="0" applyFont="1"/>
    <xf numFmtId="0" fontId="44" fillId="0" borderId="0" xfId="3" applyFont="1"/>
    <xf numFmtId="0" fontId="42" fillId="0" borderId="0" xfId="3" applyFont="1"/>
    <xf numFmtId="0" fontId="2" fillId="5" borderId="10" xfId="3" applyFill="1" applyBorder="1" applyAlignment="1" applyProtection="1">
      <alignment horizontal="right"/>
      <protection locked="0"/>
    </xf>
    <xf numFmtId="0" fontId="2" fillId="5" borderId="10" xfId="3" applyFill="1" applyBorder="1" applyProtection="1">
      <protection locked="0"/>
    </xf>
    <xf numFmtId="169" fontId="0" fillId="5" borderId="10" xfId="5" applyNumberFormat="1" applyFont="1" applyFill="1" applyBorder="1" applyProtection="1">
      <protection locked="0"/>
    </xf>
    <xf numFmtId="0" fontId="9" fillId="0" borderId="0" xfId="0" applyFont="1" applyAlignment="1">
      <alignment horizontal="left"/>
    </xf>
    <xf numFmtId="0" fontId="9" fillId="0" borderId="0" xfId="0" applyFont="1" applyAlignment="1">
      <alignment horizontal="center"/>
    </xf>
    <xf numFmtId="0" fontId="9" fillId="0" borderId="0" xfId="0" applyFont="1"/>
    <xf numFmtId="0" fontId="9" fillId="0" borderId="10" xfId="0" applyFont="1" applyBorder="1" applyAlignment="1">
      <alignment horizontal="left"/>
    </xf>
    <xf numFmtId="0" fontId="9" fillId="0" borderId="10" xfId="0" applyFont="1" applyBorder="1" applyAlignment="1">
      <alignment horizontal="center"/>
    </xf>
    <xf numFmtId="0" fontId="9" fillId="0" borderId="10" xfId="0" applyFont="1" applyBorder="1"/>
    <xf numFmtId="0" fontId="9" fillId="0" borderId="10" xfId="0" applyFont="1" applyBorder="1" applyAlignment="1">
      <alignment horizontal="right"/>
    </xf>
    <xf numFmtId="0" fontId="9" fillId="0" borderId="0" xfId="0" applyFont="1" applyAlignment="1">
      <alignment horizontal="right"/>
    </xf>
    <xf numFmtId="0" fontId="9" fillId="0" borderId="6" xfId="0" applyFont="1" applyBorder="1" applyAlignment="1">
      <alignment horizontal="center"/>
    </xf>
    <xf numFmtId="0" fontId="9" fillId="0" borderId="7" xfId="0" applyFont="1" applyBorder="1" applyAlignment="1">
      <alignment horizontal="center"/>
    </xf>
    <xf numFmtId="0" fontId="9" fillId="0" borderId="12" xfId="0" applyFont="1" applyBorder="1" applyAlignment="1">
      <alignment horizontal="left"/>
    </xf>
    <xf numFmtId="0" fontId="9" fillId="0" borderId="8" xfId="0" applyFont="1" applyBorder="1"/>
    <xf numFmtId="0" fontId="9" fillId="0" borderId="6" xfId="0" applyFont="1" applyBorder="1" applyAlignment="1">
      <alignment horizontal="right"/>
    </xf>
    <xf numFmtId="0" fontId="9" fillId="0" borderId="8" xfId="0" applyFont="1" applyBorder="1" applyAlignment="1">
      <alignment horizontal="right"/>
    </xf>
    <xf numFmtId="0" fontId="9" fillId="0" borderId="2" xfId="0" applyFont="1" applyBorder="1" applyAlignment="1">
      <alignment horizontal="center"/>
    </xf>
    <xf numFmtId="0" fontId="9" fillId="0" borderId="12" xfId="0" applyFont="1" applyBorder="1" applyAlignment="1">
      <alignment horizontal="center"/>
    </xf>
    <xf numFmtId="0" fontId="9" fillId="0" borderId="14" xfId="0" applyFont="1" applyBorder="1" applyAlignment="1">
      <alignment horizontal="center"/>
    </xf>
    <xf numFmtId="0" fontId="2" fillId="0" borderId="4" xfId="0" applyFont="1" applyBorder="1" applyAlignment="1">
      <alignment horizontal="center"/>
    </xf>
    <xf numFmtId="0" fontId="9" fillId="0" borderId="12" xfId="0" applyFont="1" applyBorder="1"/>
    <xf numFmtId="0" fontId="9" fillId="0" borderId="16" xfId="0" applyFont="1" applyBorder="1"/>
    <xf numFmtId="16" fontId="4" fillId="0" borderId="0" xfId="0" applyNumberFormat="1" applyFont="1" applyAlignment="1">
      <alignment horizontal="center"/>
    </xf>
    <xf numFmtId="0" fontId="0" fillId="0" borderId="0" xfId="0" applyAlignment="1">
      <alignment horizontal="left"/>
    </xf>
    <xf numFmtId="0" fontId="45" fillId="0" borderId="0" xfId="0" applyFont="1"/>
    <xf numFmtId="0" fontId="48" fillId="0" borderId="0" xfId="0" applyFont="1"/>
    <xf numFmtId="0" fontId="9" fillId="0" borderId="7" xfId="0" applyFont="1" applyBorder="1"/>
    <xf numFmtId="0" fontId="9" fillId="0" borderId="7" xfId="0" applyFont="1" applyBorder="1" applyAlignment="1">
      <alignment horizontal="left"/>
    </xf>
    <xf numFmtId="0" fontId="9" fillId="0" borderId="7" xfId="0" applyFont="1" applyBorder="1" applyAlignment="1">
      <alignment horizontal="right"/>
    </xf>
    <xf numFmtId="0" fontId="4" fillId="0" borderId="10" xfId="0" applyFont="1" applyBorder="1" applyAlignment="1">
      <alignment horizontal="center"/>
    </xf>
    <xf numFmtId="0" fontId="0" fillId="0" borderId="10" xfId="0" applyBorder="1" applyAlignment="1">
      <alignment horizontal="center"/>
    </xf>
    <xf numFmtId="0" fontId="9" fillId="0" borderId="6" xfId="0" applyFont="1" applyBorder="1"/>
    <xf numFmtId="0" fontId="9" fillId="0" borderId="9" xfId="0" applyFont="1" applyBorder="1"/>
    <xf numFmtId="0" fontId="49" fillId="0" borderId="0" xfId="0" applyFont="1"/>
    <xf numFmtId="0" fontId="9" fillId="0" borderId="13" xfId="0" applyFont="1" applyBorder="1"/>
    <xf numFmtId="0" fontId="9" fillId="0" borderId="18" xfId="0" applyFont="1" applyBorder="1"/>
    <xf numFmtId="0" fontId="9" fillId="0" borderId="13" xfId="0" applyFont="1" applyBorder="1" applyAlignment="1">
      <alignment horizontal="center"/>
    </xf>
    <xf numFmtId="2" fontId="9" fillId="0" borderId="5" xfId="0" applyNumberFormat="1" applyFont="1" applyBorder="1" applyAlignment="1">
      <alignment horizontal="center"/>
    </xf>
    <xf numFmtId="2" fontId="9" fillId="0" borderId="1" xfId="0" applyNumberFormat="1" applyFont="1" applyBorder="1" applyAlignment="1">
      <alignment horizontal="center"/>
    </xf>
    <xf numFmtId="2" fontId="9" fillId="0" borderId="18" xfId="0" applyNumberFormat="1" applyFont="1" applyBorder="1" applyAlignment="1">
      <alignment horizontal="center"/>
    </xf>
    <xf numFmtId="0" fontId="9" fillId="0" borderId="5" xfId="0" applyFont="1" applyBorder="1" applyAlignment="1">
      <alignment horizontal="center"/>
    </xf>
    <xf numFmtId="0" fontId="9" fillId="0" borderId="11" xfId="0" applyFont="1" applyBorder="1"/>
    <xf numFmtId="0" fontId="9" fillId="0" borderId="18" xfId="0" applyFont="1" applyBorder="1" applyAlignment="1">
      <alignment horizontal="center"/>
    </xf>
    <xf numFmtId="0" fontId="9" fillId="0" borderId="9" xfId="0" applyFont="1" applyBorder="1" applyAlignment="1">
      <alignment horizontal="center"/>
    </xf>
    <xf numFmtId="2" fontId="9" fillId="0" borderId="4" xfId="0" applyNumberFormat="1" applyFont="1" applyBorder="1" applyAlignment="1">
      <alignment horizontal="center"/>
    </xf>
    <xf numFmtId="0" fontId="9" fillId="0" borderId="90" xfId="0" applyFont="1" applyBorder="1"/>
    <xf numFmtId="0" fontId="49" fillId="0" borderId="7" xfId="0" applyFont="1" applyBorder="1"/>
    <xf numFmtId="0" fontId="4" fillId="0" borderId="7" xfId="0" applyFont="1" applyBorder="1" applyAlignment="1">
      <alignment horizontal="center"/>
    </xf>
    <xf numFmtId="0" fontId="46" fillId="0" borderId="7" xfId="0" applyFont="1" applyBorder="1"/>
    <xf numFmtId="0" fontId="49" fillId="0" borderId="7" xfId="0" applyFont="1" applyBorder="1" applyAlignment="1">
      <alignment horizontal="center"/>
    </xf>
    <xf numFmtId="0" fontId="4" fillId="0" borderId="8" xfId="0" applyFont="1" applyBorder="1" applyAlignment="1">
      <alignment horizontal="center"/>
    </xf>
    <xf numFmtId="0" fontId="9" fillId="0" borderId="9" xfId="0" applyFont="1" applyBorder="1" applyAlignment="1">
      <alignment horizontal="left"/>
    </xf>
    <xf numFmtId="0" fontId="9" fillId="0" borderId="11" xfId="0" applyFont="1" applyBorder="1" applyAlignment="1">
      <alignment horizontal="left"/>
    </xf>
    <xf numFmtId="0" fontId="50" fillId="0" borderId="0" xfId="0" applyFont="1"/>
    <xf numFmtId="2" fontId="2" fillId="0" borderId="0" xfId="0" applyNumberFormat="1" applyFont="1"/>
    <xf numFmtId="0" fontId="36" fillId="0" borderId="0" xfId="0" applyFont="1"/>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38" fillId="0" borderId="12" xfId="0" applyFont="1" applyBorder="1" applyAlignment="1">
      <alignment horizontal="center"/>
    </xf>
    <xf numFmtId="0" fontId="38" fillId="0" borderId="16" xfId="0" applyFont="1" applyBorder="1"/>
    <xf numFmtId="0" fontId="51" fillId="0" borderId="12" xfId="0" applyFont="1" applyBorder="1"/>
    <xf numFmtId="0" fontId="38" fillId="0" borderId="0" xfId="0" applyFont="1" applyAlignment="1">
      <alignment horizontal="center"/>
    </xf>
    <xf numFmtId="0" fontId="38" fillId="0" borderId="16" xfId="0" applyFont="1" applyBorder="1" applyAlignment="1">
      <alignment horizontal="center"/>
    </xf>
    <xf numFmtId="0" fontId="38" fillId="0" borderId="9" xfId="0" applyFont="1" applyBorder="1" applyAlignment="1">
      <alignment horizontal="center"/>
    </xf>
    <xf numFmtId="0" fontId="38" fillId="0" borderId="9" xfId="0" applyFont="1" applyBorder="1" applyAlignment="1">
      <alignment horizontal="left"/>
    </xf>
    <xf numFmtId="0" fontId="38" fillId="0" borderId="11" xfId="0" applyFont="1" applyBorder="1"/>
    <xf numFmtId="177" fontId="38" fillId="0" borderId="4" xfId="0" applyNumberFormat="1" applyFont="1" applyBorder="1" applyAlignment="1">
      <alignment horizontal="center"/>
    </xf>
    <xf numFmtId="0" fontId="51" fillId="0" borderId="2" xfId="0" applyFont="1" applyBorder="1" applyAlignment="1">
      <alignment horizontal="center"/>
    </xf>
    <xf numFmtId="43" fontId="51" fillId="0" borderId="12" xfId="0" applyNumberFormat="1" applyFont="1" applyBorder="1" applyAlignment="1">
      <alignment horizontal="right"/>
    </xf>
    <xf numFmtId="2" fontId="51" fillId="0" borderId="14" xfId="0" applyNumberFormat="1" applyFont="1" applyBorder="1" applyAlignment="1">
      <alignment horizontal="right"/>
    </xf>
    <xf numFmtId="0" fontId="51" fillId="0" borderId="12" xfId="0" applyFont="1" applyBorder="1" applyAlignment="1">
      <alignment horizontal="center"/>
    </xf>
    <xf numFmtId="0" fontId="51" fillId="0" borderId="12" xfId="0" applyFont="1" applyBorder="1" applyAlignment="1">
      <alignment horizontal="left"/>
    </xf>
    <xf numFmtId="43" fontId="51" fillId="0" borderId="12" xfId="0" applyNumberFormat="1" applyFont="1" applyBorder="1" applyAlignment="1">
      <alignment horizontal="left"/>
    </xf>
    <xf numFmtId="0" fontId="51" fillId="0" borderId="14" xfId="0" applyFont="1" applyBorder="1" applyAlignment="1">
      <alignment horizontal="center"/>
    </xf>
    <xf numFmtId="0" fontId="51" fillId="0" borderId="14" xfId="0" applyFont="1" applyBorder="1"/>
    <xf numFmtId="43" fontId="51" fillId="0" borderId="0" xfId="0" applyNumberFormat="1" applyFont="1" applyAlignment="1">
      <alignment horizontal="right"/>
    </xf>
    <xf numFmtId="0" fontId="51" fillId="0" borderId="0" xfId="0" applyFont="1"/>
    <xf numFmtId="0" fontId="38" fillId="0" borderId="12" xfId="0" applyFont="1" applyBorder="1"/>
    <xf numFmtId="0" fontId="38" fillId="0" borderId="12" xfId="0" applyFont="1" applyBorder="1" applyAlignment="1">
      <alignment horizontal="left"/>
    </xf>
    <xf numFmtId="0" fontId="38" fillId="0" borderId="14" xfId="0" applyFont="1" applyBorder="1" applyAlignment="1">
      <alignment horizontal="center"/>
    </xf>
    <xf numFmtId="0" fontId="51" fillId="0" borderId="14" xfId="0" applyFont="1" applyBorder="1" applyAlignment="1">
      <alignment horizontal="right"/>
    </xf>
    <xf numFmtId="2" fontId="51" fillId="0" borderId="16" xfId="0" applyNumberFormat="1" applyFont="1" applyBorder="1" applyAlignment="1">
      <alignment horizontal="right"/>
    </xf>
    <xf numFmtId="0" fontId="38" fillId="0" borderId="0" xfId="0" applyFont="1" applyAlignment="1">
      <alignment horizontal="left"/>
    </xf>
    <xf numFmtId="0" fontId="38" fillId="0" borderId="0" xfId="0" applyFont="1"/>
    <xf numFmtId="0" fontId="38" fillId="0" borderId="16" xfId="0" applyFont="1" applyBorder="1" applyAlignment="1">
      <alignment horizontal="right"/>
    </xf>
    <xf numFmtId="0" fontId="38" fillId="0" borderId="4" xfId="0" applyFont="1" applyBorder="1" applyAlignment="1">
      <alignment horizontal="center"/>
    </xf>
    <xf numFmtId="0" fontId="38" fillId="0" borderId="4" xfId="0" applyFont="1" applyBorder="1" applyAlignment="1">
      <alignment horizontal="right"/>
    </xf>
    <xf numFmtId="0" fontId="38" fillId="0" borderId="11" xfId="0" applyFont="1" applyBorder="1" applyAlignment="1">
      <alignment horizontal="right"/>
    </xf>
    <xf numFmtId="0" fontId="38" fillId="0" borderId="0" xfId="0" applyFont="1" applyAlignment="1">
      <alignment horizontal="right"/>
    </xf>
    <xf numFmtId="43" fontId="51" fillId="0" borderId="88" xfId="0" applyNumberFormat="1" applyFont="1" applyBorder="1" applyAlignment="1">
      <alignment horizontal="left"/>
    </xf>
    <xf numFmtId="2" fontId="9" fillId="0" borderId="0" xfId="0" applyNumberFormat="1" applyFont="1"/>
    <xf numFmtId="2" fontId="9" fillId="0" borderId="10" xfId="0" applyNumberFormat="1" applyFont="1" applyBorder="1" applyAlignment="1">
      <alignment horizontal="right"/>
    </xf>
    <xf numFmtId="2" fontId="9" fillId="0" borderId="10" xfId="0" applyNumberFormat="1" applyFont="1" applyBorder="1" applyAlignment="1">
      <alignment horizontal="left"/>
    </xf>
    <xf numFmtId="2" fontId="38" fillId="0" borderId="12" xfId="0" applyNumberFormat="1" applyFont="1" applyBorder="1" applyAlignment="1">
      <alignment horizontal="center"/>
    </xf>
    <xf numFmtId="0" fontId="38" fillId="0" borderId="14" xfId="0" applyFont="1" applyBorder="1"/>
    <xf numFmtId="0" fontId="51" fillId="0" borderId="9" xfId="0" applyFont="1" applyBorder="1"/>
    <xf numFmtId="0" fontId="51" fillId="0" borderId="4" xfId="0" applyFont="1" applyBorder="1"/>
    <xf numFmtId="2" fontId="51" fillId="0" borderId="9" xfId="0" applyNumberFormat="1" applyFont="1" applyBorder="1"/>
    <xf numFmtId="2" fontId="51" fillId="0" borderId="12" xfId="0" applyNumberFormat="1" applyFont="1" applyBorder="1"/>
    <xf numFmtId="0" fontId="52" fillId="0" borderId="14" xfId="0" applyFont="1" applyBorder="1" applyAlignment="1">
      <alignment horizontal="left"/>
    </xf>
    <xf numFmtId="2" fontId="51" fillId="0" borderId="12" xfId="0" applyNumberFormat="1" applyFont="1" applyBorder="1" applyAlignment="1">
      <alignment horizontal="right"/>
    </xf>
    <xf numFmtId="0" fontId="51" fillId="0" borderId="14" xfId="0" applyFont="1" applyBorder="1" applyAlignment="1">
      <alignment horizontal="left"/>
    </xf>
    <xf numFmtId="2" fontId="51" fillId="0" borderId="0" xfId="0" applyNumberFormat="1" applyFont="1" applyAlignment="1">
      <alignment horizontal="right"/>
    </xf>
    <xf numFmtId="0" fontId="53" fillId="0" borderId="14" xfId="0" applyFont="1" applyBorder="1" applyAlignment="1">
      <alignment horizontal="left"/>
    </xf>
    <xf numFmtId="2" fontId="51" fillId="0" borderId="14" xfId="0" applyNumberFormat="1" applyFont="1" applyBorder="1"/>
    <xf numFmtId="0" fontId="38" fillId="0" borderId="9" xfId="0" applyFont="1" applyBorder="1"/>
    <xf numFmtId="0" fontId="38" fillId="0" borderId="4" xfId="0" applyFont="1" applyBorder="1"/>
    <xf numFmtId="2" fontId="51" fillId="0" borderId="4" xfId="0" applyNumberFormat="1" applyFont="1" applyBorder="1" applyAlignment="1">
      <alignment horizontal="right"/>
    </xf>
    <xf numFmtId="2" fontId="51" fillId="0" borderId="89" xfId="0" applyNumberFormat="1" applyFont="1" applyBorder="1"/>
    <xf numFmtId="2" fontId="38" fillId="0" borderId="0" xfId="0" applyNumberFormat="1" applyFont="1"/>
    <xf numFmtId="0" fontId="54" fillId="0" borderId="0" xfId="0" applyFont="1"/>
    <xf numFmtId="0" fontId="29" fillId="0" borderId="0" xfId="0" applyFont="1"/>
    <xf numFmtId="14" fontId="51" fillId="0" borderId="0" xfId="0" applyNumberFormat="1" applyFont="1" applyAlignment="1">
      <alignment horizontal="left"/>
    </xf>
    <xf numFmtId="2" fontId="51" fillId="0" borderId="0" xfId="0" applyNumberFormat="1" applyFont="1" applyAlignment="1">
      <alignment horizontal="left"/>
    </xf>
    <xf numFmtId="14" fontId="38" fillId="0" borderId="0" xfId="0" applyNumberFormat="1" applyFont="1" applyAlignment="1">
      <alignment horizontal="right"/>
    </xf>
    <xf numFmtId="178" fontId="7" fillId="0" borderId="1" xfId="0" applyNumberFormat="1" applyFont="1" applyBorder="1" applyAlignment="1">
      <alignment horizontal="right"/>
    </xf>
    <xf numFmtId="178" fontId="7" fillId="0" borderId="89" xfId="0" applyNumberFormat="1" applyFont="1" applyBorder="1" applyAlignment="1">
      <alignment horizontal="right"/>
    </xf>
    <xf numFmtId="0" fontId="7" fillId="0" borderId="2" xfId="0" applyFont="1" applyBorder="1"/>
    <xf numFmtId="0" fontId="7" fillId="0" borderId="11" xfId="0" applyFont="1" applyBorder="1"/>
    <xf numFmtId="0" fontId="7" fillId="0" borderId="16" xfId="0" applyFont="1" applyBorder="1"/>
    <xf numFmtId="0" fontId="16" fillId="0" borderId="10" xfId="0" applyFont="1" applyBorder="1"/>
    <xf numFmtId="0" fontId="16" fillId="0" borderId="0" xfId="0" applyFont="1"/>
    <xf numFmtId="0" fontId="55" fillId="0" borderId="0" xfId="0" applyFont="1"/>
    <xf numFmtId="0" fontId="56" fillId="0" borderId="0" xfId="3" applyFont="1"/>
    <xf numFmtId="0" fontId="36" fillId="0" borderId="0" xfId="3" applyFont="1"/>
    <xf numFmtId="0" fontId="38" fillId="0" borderId="0" xfId="3" applyFont="1" applyAlignment="1">
      <alignment horizontal="right"/>
    </xf>
    <xf numFmtId="0" fontId="38" fillId="0" borderId="0" xfId="3" applyFont="1"/>
    <xf numFmtId="172" fontId="29" fillId="0" borderId="0" xfId="3" applyNumberFormat="1" applyFont="1" applyAlignment="1">
      <alignment horizontal="left"/>
    </xf>
    <xf numFmtId="169" fontId="29" fillId="5" borderId="10" xfId="5" applyNumberFormat="1" applyFont="1" applyFill="1" applyBorder="1"/>
    <xf numFmtId="49" fontId="42" fillId="0" borderId="15" xfId="6" applyFont="1" applyBorder="1"/>
    <xf numFmtId="49" fontId="29" fillId="0" borderId="0" xfId="6" applyFont="1"/>
    <xf numFmtId="49" fontId="42" fillId="0" borderId="0" xfId="6" applyFont="1"/>
    <xf numFmtId="0" fontId="35" fillId="0" borderId="0" xfId="3" applyFont="1" applyAlignment="1">
      <alignment horizontal="center"/>
    </xf>
    <xf numFmtId="0" fontId="35" fillId="0" borderId="0" xfId="3" applyFont="1"/>
    <xf numFmtId="169" fontId="38" fillId="0" borderId="0" xfId="3" applyNumberFormat="1" applyFont="1"/>
    <xf numFmtId="49" fontId="38" fillId="0" borderId="0" xfId="3" applyNumberFormat="1" applyFont="1"/>
    <xf numFmtId="169" fontId="38" fillId="0" borderId="0" xfId="3" applyNumberFormat="1" applyFont="1" applyAlignment="1">
      <alignment horizontal="right"/>
    </xf>
    <xf numFmtId="0" fontId="38" fillId="0" borderId="0" xfId="3" applyFont="1" applyAlignment="1">
      <alignment horizontal="center"/>
    </xf>
    <xf numFmtId="0" fontId="38" fillId="0" borderId="1" xfId="3" applyFont="1" applyBorder="1"/>
    <xf numFmtId="0" fontId="38" fillId="0" borderId="0" xfId="3" applyFont="1" applyAlignment="1">
      <alignment horizontal="left"/>
    </xf>
    <xf numFmtId="176" fontId="38" fillId="0" borderId="0" xfId="3" applyNumberFormat="1" applyFont="1" applyAlignment="1">
      <alignment horizontal="left"/>
    </xf>
    <xf numFmtId="0" fontId="35" fillId="0" borderId="0" xfId="3" applyFont="1" applyAlignment="1">
      <alignment vertical="top"/>
    </xf>
    <xf numFmtId="4" fontId="35" fillId="0" borderId="0" xfId="3" applyNumberFormat="1" applyFont="1"/>
    <xf numFmtId="1" fontId="35" fillId="0" borderId="0" xfId="3" applyNumberFormat="1" applyFont="1"/>
    <xf numFmtId="44" fontId="35" fillId="0" borderId="0" xfId="5" applyNumberFormat="1" applyFont="1" applyBorder="1" applyAlignment="1" applyProtection="1">
      <alignment horizontal="right"/>
      <protection locked="0"/>
    </xf>
    <xf numFmtId="14" fontId="38" fillId="0" borderId="15" xfId="3" applyNumberFormat="1" applyFont="1" applyBorder="1" applyProtection="1">
      <protection locked="0"/>
    </xf>
    <xf numFmtId="175" fontId="38" fillId="0" borderId="0" xfId="3" applyNumberFormat="1" applyFont="1"/>
    <xf numFmtId="44" fontId="38" fillId="0" borderId="0" xfId="3" applyNumberFormat="1" applyFont="1"/>
    <xf numFmtId="44" fontId="35" fillId="4" borderId="0" xfId="1" applyFont="1" applyFill="1"/>
    <xf numFmtId="175" fontId="38" fillId="0" borderId="15" xfId="3" applyNumberFormat="1" applyFont="1" applyBorder="1" applyProtection="1">
      <protection locked="0"/>
    </xf>
    <xf numFmtId="44" fontId="38" fillId="0" borderId="15" xfId="3" applyNumberFormat="1" applyFont="1" applyBorder="1" applyProtection="1">
      <protection locked="0"/>
    </xf>
    <xf numFmtId="0" fontId="29" fillId="0" borderId="0" xfId="3" applyFont="1" applyAlignment="1">
      <alignment horizontal="right"/>
    </xf>
    <xf numFmtId="49" fontId="29" fillId="0" borderId="0" xfId="3" quotePrefix="1" applyNumberFormat="1" applyFont="1"/>
    <xf numFmtId="0" fontId="29" fillId="11" borderId="0" xfId="3" applyFont="1" applyFill="1"/>
    <xf numFmtId="0" fontId="27" fillId="0" borderId="0" xfId="3" applyFont="1"/>
    <xf numFmtId="0" fontId="31" fillId="11" borderId="0" xfId="3" applyFont="1" applyFill="1"/>
    <xf numFmtId="169" fontId="29" fillId="11" borderId="0" xfId="5" applyNumberFormat="1" applyFont="1" applyFill="1" applyBorder="1"/>
    <xf numFmtId="0" fontId="1" fillId="0" borderId="0" xfId="3" applyFont="1"/>
    <xf numFmtId="49" fontId="42" fillId="0" borderId="0" xfId="6" applyFont="1" applyAlignment="1">
      <alignment horizontal="right"/>
    </xf>
    <xf numFmtId="49" fontId="42" fillId="0" borderId="0" xfId="6" applyFont="1" applyAlignment="1">
      <alignment horizontal="left"/>
    </xf>
    <xf numFmtId="49" fontId="38" fillId="0" borderId="0" xfId="3" applyNumberFormat="1" applyFont="1" applyAlignment="1">
      <alignment horizontal="center"/>
    </xf>
    <xf numFmtId="0" fontId="42" fillId="0" borderId="0" xfId="3" applyFont="1" applyAlignment="1">
      <alignment horizontal="right"/>
    </xf>
    <xf numFmtId="49" fontId="51" fillId="0" borderId="0" xfId="6" applyFont="1"/>
    <xf numFmtId="0" fontId="35" fillId="0" borderId="0" xfId="3" quotePrefix="1" applyFont="1"/>
    <xf numFmtId="1" fontId="42" fillId="0" borderId="0" xfId="6" applyNumberFormat="1" applyFont="1" applyAlignment="1">
      <alignment horizontal="right"/>
    </xf>
    <xf numFmtId="0" fontId="29" fillId="0" borderId="4" xfId="3" applyFont="1" applyBorder="1" applyAlignment="1" applyProtection="1">
      <alignment horizontal="center" vertical="center"/>
      <protection locked="0"/>
    </xf>
    <xf numFmtId="0" fontId="1" fillId="0" borderId="0" xfId="0" applyFont="1" applyAlignment="1">
      <alignment horizontal="left"/>
    </xf>
    <xf numFmtId="0" fontId="27" fillId="0" borderId="0" xfId="0" applyFont="1"/>
    <xf numFmtId="44" fontId="27" fillId="0" borderId="0" xfId="1" applyFont="1"/>
    <xf numFmtId="0" fontId="27" fillId="0" borderId="0" xfId="0" applyFont="1" applyAlignment="1">
      <alignment horizontal="right"/>
    </xf>
    <xf numFmtId="0" fontId="66" fillId="0" borderId="0" xfId="0" applyFont="1"/>
    <xf numFmtId="0" fontId="27" fillId="0" borderId="0" xfId="0" applyFont="1" applyAlignment="1">
      <alignment horizontal="center"/>
    </xf>
    <xf numFmtId="0" fontId="66" fillId="0" borderId="57" xfId="0" applyFont="1" applyBorder="1" applyProtection="1">
      <protection locked="0"/>
    </xf>
    <xf numFmtId="0" fontId="66" fillId="0" borderId="0" xfId="0" applyFont="1" applyAlignment="1">
      <alignment horizontal="right"/>
    </xf>
    <xf numFmtId="0" fontId="27" fillId="0" borderId="0" xfId="0" applyFont="1" applyAlignment="1">
      <alignment horizontal="left"/>
    </xf>
    <xf numFmtId="0" fontId="66" fillId="0" borderId="0" xfId="0" applyFont="1" applyAlignment="1">
      <alignment horizontal="left" indent="2"/>
    </xf>
    <xf numFmtId="0" fontId="66" fillId="10" borderId="10" xfId="0" applyFont="1" applyFill="1" applyBorder="1" applyProtection="1">
      <protection locked="0"/>
    </xf>
    <xf numFmtId="0" fontId="27" fillId="10" borderId="11" xfId="0" applyFont="1" applyFill="1" applyBorder="1" applyProtection="1">
      <protection locked="0"/>
    </xf>
    <xf numFmtId="1" fontId="27" fillId="10" borderId="10" xfId="0" applyNumberFormat="1" applyFont="1" applyFill="1" applyBorder="1" applyAlignment="1" applyProtection="1">
      <alignment horizontal="center"/>
      <protection locked="0"/>
    </xf>
    <xf numFmtId="44" fontId="27" fillId="0" borderId="0" xfId="1" applyFont="1" applyBorder="1"/>
    <xf numFmtId="0" fontId="37" fillId="0" borderId="0" xfId="3" applyFont="1" applyAlignment="1">
      <alignment horizontal="center" wrapText="1"/>
    </xf>
    <xf numFmtId="167" fontId="38" fillId="0" borderId="0" xfId="3" applyNumberFormat="1" applyFont="1" applyAlignment="1">
      <alignment horizontal="right"/>
    </xf>
    <xf numFmtId="0" fontId="27" fillId="10" borderId="18" xfId="0" applyFont="1" applyFill="1" applyBorder="1" applyProtection="1">
      <protection locked="0"/>
    </xf>
    <xf numFmtId="174" fontId="27" fillId="0" borderId="0" xfId="0" applyNumberFormat="1" applyFont="1"/>
    <xf numFmtId="174" fontId="24" fillId="0" borderId="0" xfId="0" applyNumberFormat="1" applyFont="1" applyAlignment="1">
      <alignment horizontal="right"/>
    </xf>
    <xf numFmtId="0" fontId="27" fillId="0" borderId="0" xfId="2" applyNumberFormat="1" applyFont="1" applyBorder="1" applyAlignment="1" applyProtection="1">
      <alignment horizontal="right"/>
    </xf>
    <xf numFmtId="0" fontId="35" fillId="0" borderId="29" xfId="3" applyFont="1" applyBorder="1" applyAlignment="1">
      <alignment horizontal="center"/>
    </xf>
    <xf numFmtId="0" fontId="37" fillId="0" borderId="30" xfId="3" applyFont="1" applyBorder="1" applyAlignment="1">
      <alignment wrapText="1"/>
    </xf>
    <xf numFmtId="0" fontId="37" fillId="0" borderId="31" xfId="3" applyFont="1" applyBorder="1" applyAlignment="1">
      <alignment wrapText="1"/>
    </xf>
    <xf numFmtId="0" fontId="35" fillId="0" borderId="44" xfId="3" applyFont="1" applyBorder="1" applyAlignment="1">
      <alignment horizontal="center"/>
    </xf>
    <xf numFmtId="174" fontId="24" fillId="0" borderId="0" xfId="0" applyNumberFormat="1" applyFont="1"/>
    <xf numFmtId="49" fontId="38" fillId="0" borderId="61" xfId="3" applyNumberFormat="1" applyFont="1" applyBorder="1"/>
    <xf numFmtId="0" fontId="38" fillId="0" borderId="62" xfId="3" applyFont="1" applyBorder="1" applyAlignment="1">
      <alignment horizontal="center"/>
    </xf>
    <xf numFmtId="0" fontId="27" fillId="10" borderId="10" xfId="0" applyFont="1" applyFill="1" applyBorder="1" applyProtection="1">
      <protection locked="0"/>
    </xf>
    <xf numFmtId="0" fontId="27" fillId="0" borderId="0" xfId="0" quotePrefix="1" applyFont="1" applyAlignment="1">
      <alignment horizontal="right"/>
    </xf>
    <xf numFmtId="0" fontId="66" fillId="0" borderId="0" xfId="1" applyNumberFormat="1" applyFont="1" applyBorder="1" applyAlignment="1">
      <alignment horizontal="center"/>
    </xf>
    <xf numFmtId="44" fontId="27" fillId="0" borderId="3" xfId="1" applyFont="1" applyBorder="1"/>
    <xf numFmtId="49" fontId="38" fillId="0" borderId="85" xfId="3" applyNumberFormat="1" applyFont="1" applyBorder="1"/>
    <xf numFmtId="49" fontId="38" fillId="0" borderId="13" xfId="3" applyNumberFormat="1" applyFont="1" applyBorder="1"/>
    <xf numFmtId="49" fontId="38" fillId="0" borderId="5" xfId="3" applyNumberFormat="1" applyFont="1" applyBorder="1"/>
    <xf numFmtId="0" fontId="38" fillId="0" borderId="86" xfId="3" applyFont="1" applyBorder="1" applyAlignment="1">
      <alignment horizontal="center"/>
    </xf>
    <xf numFmtId="0" fontId="30" fillId="0" borderId="0" xfId="0" applyFont="1" applyAlignment="1">
      <alignment vertical="top"/>
    </xf>
    <xf numFmtId="0" fontId="27" fillId="0" borderId="0" xfId="0" quotePrefix="1" applyFont="1"/>
    <xf numFmtId="44" fontId="30" fillId="0" borderId="0" xfId="1" applyFont="1" applyBorder="1"/>
    <xf numFmtId="0" fontId="35" fillId="10" borderId="10" xfId="0" applyFont="1" applyFill="1" applyBorder="1" applyProtection="1">
      <protection locked="0"/>
    </xf>
    <xf numFmtId="49" fontId="38" fillId="0" borderId="6" xfId="3" applyNumberFormat="1" applyFont="1" applyBorder="1"/>
    <xf numFmtId="49" fontId="38" fillId="0" borderId="8" xfId="3" applyNumberFormat="1" applyFont="1" applyBorder="1"/>
    <xf numFmtId="49" fontId="38" fillId="0" borderId="87" xfId="3" applyNumberFormat="1" applyFont="1" applyBorder="1"/>
    <xf numFmtId="0" fontId="38" fillId="0" borderId="4" xfId="3" applyFont="1" applyBorder="1"/>
    <xf numFmtId="49" fontId="66" fillId="0" borderId="0" xfId="1" applyNumberFormat="1" applyFont="1" applyBorder="1" applyAlignment="1">
      <alignment horizontal="center"/>
    </xf>
    <xf numFmtId="49" fontId="0" fillId="0" borderId="13" xfId="0" applyNumberFormat="1" applyBorder="1"/>
    <xf numFmtId="49" fontId="0" fillId="0" borderId="5" xfId="0" applyNumberFormat="1" applyBorder="1"/>
    <xf numFmtId="167" fontId="38" fillId="0" borderId="0" xfId="3" applyNumberFormat="1" applyFont="1" applyAlignment="1">
      <alignment horizontal="left"/>
    </xf>
    <xf numFmtId="49" fontId="27" fillId="0" borderId="0" xfId="2" applyNumberFormat="1" applyFont="1" applyBorder="1" applyAlignment="1" applyProtection="1">
      <alignment horizontal="right"/>
    </xf>
    <xf numFmtId="0" fontId="38" fillId="0" borderId="85" xfId="3" applyFont="1" applyBorder="1"/>
    <xf numFmtId="0" fontId="27" fillId="0" borderId="85" xfId="0" applyFont="1" applyBorder="1"/>
    <xf numFmtId="0" fontId="0" fillId="0" borderId="86" xfId="0" applyBorder="1"/>
    <xf numFmtId="49" fontId="66" fillId="0" borderId="0" xfId="1" applyNumberFormat="1" applyFont="1" applyBorder="1" applyAlignment="1" applyProtection="1">
      <alignment horizontal="center"/>
      <protection locked="0"/>
    </xf>
    <xf numFmtId="49" fontId="38" fillId="0" borderId="13" xfId="3" applyNumberFormat="1" applyFont="1" applyBorder="1" applyAlignment="1">
      <alignment horizontal="left"/>
    </xf>
    <xf numFmtId="49" fontId="38" fillId="0" borderId="5" xfId="3" applyNumberFormat="1" applyFont="1" applyBorder="1" applyAlignment="1">
      <alignment horizontal="center"/>
    </xf>
    <xf numFmtId="49" fontId="38" fillId="0" borderId="13" xfId="3" applyNumberFormat="1" applyFont="1" applyBorder="1" applyAlignment="1">
      <alignment horizontal="center"/>
    </xf>
    <xf numFmtId="44" fontId="27" fillId="0" borderId="0" xfId="1" applyFont="1" applyAlignment="1">
      <alignment horizontal="center"/>
    </xf>
    <xf numFmtId="0" fontId="66" fillId="0" borderId="0" xfId="1" applyNumberFormat="1" applyFont="1" applyAlignment="1" applyProtection="1">
      <alignment horizontal="center"/>
      <protection locked="0"/>
    </xf>
    <xf numFmtId="0" fontId="27" fillId="6" borderId="0" xfId="0" applyFont="1" applyFill="1"/>
    <xf numFmtId="49" fontId="38" fillId="0" borderId="82" xfId="3" applyNumberFormat="1" applyFont="1" applyBorder="1"/>
    <xf numFmtId="0" fontId="63" fillId="0" borderId="0" xfId="0" applyFont="1"/>
    <xf numFmtId="44" fontId="27" fillId="0" borderId="0" xfId="1" applyFont="1" applyFill="1" applyBorder="1"/>
    <xf numFmtId="164" fontId="27" fillId="0" borderId="0" xfId="0" applyNumberFormat="1" applyFont="1" applyProtection="1">
      <protection locked="0"/>
    </xf>
    <xf numFmtId="49" fontId="38" fillId="0" borderId="83" xfId="3" applyNumberFormat="1" applyFont="1" applyBorder="1"/>
    <xf numFmtId="0" fontId="24" fillId="0" borderId="0" xfId="0" applyFont="1" applyProtection="1">
      <protection locked="0"/>
    </xf>
    <xf numFmtId="49" fontId="27" fillId="10" borderId="18" xfId="0" applyNumberFormat="1" applyFont="1" applyFill="1" applyBorder="1" applyAlignment="1" applyProtection="1">
      <alignment horizontal="right"/>
      <protection locked="0"/>
    </xf>
    <xf numFmtId="44" fontId="27" fillId="0" borderId="0" xfId="1" applyFont="1" applyFill="1"/>
    <xf numFmtId="44" fontId="66" fillId="0" borderId="3" xfId="1" applyFont="1" applyFill="1" applyBorder="1"/>
    <xf numFmtId="49" fontId="0" fillId="0" borderId="83" xfId="0" applyNumberFormat="1" applyBorder="1" applyAlignment="1">
      <alignment horizontal="left"/>
    </xf>
    <xf numFmtId="44" fontId="66" fillId="0" borderId="3" xfId="0" applyNumberFormat="1" applyFont="1" applyBorder="1"/>
    <xf numFmtId="49" fontId="66" fillId="10" borderId="10" xfId="0" applyNumberFormat="1" applyFont="1" applyFill="1" applyBorder="1" applyAlignment="1" applyProtection="1">
      <alignment horizontal="center"/>
      <protection locked="0"/>
    </xf>
    <xf numFmtId="44" fontId="27" fillId="10" borderId="10" xfId="1" applyFont="1" applyFill="1" applyBorder="1" applyProtection="1">
      <protection locked="0"/>
    </xf>
    <xf numFmtId="0" fontId="27" fillId="10" borderId="0" xfId="0" applyFont="1" applyFill="1"/>
    <xf numFmtId="44" fontId="27" fillId="0" borderId="0" xfId="1" applyFont="1" applyAlignment="1">
      <alignment horizontal="right"/>
    </xf>
    <xf numFmtId="0" fontId="35" fillId="0" borderId="0" xfId="0" applyFont="1"/>
    <xf numFmtId="0" fontId="38" fillId="10" borderId="10" xfId="0" applyFont="1" applyFill="1" applyBorder="1" applyProtection="1">
      <protection locked="0"/>
    </xf>
    <xf numFmtId="49" fontId="38" fillId="0" borderId="84" xfId="3" applyNumberFormat="1" applyFont="1" applyBorder="1"/>
    <xf numFmtId="44" fontId="38" fillId="0" borderId="10" xfId="1" applyFont="1" applyFill="1" applyBorder="1" applyProtection="1"/>
    <xf numFmtId="9" fontId="38" fillId="10" borderId="10" xfId="0" applyNumberFormat="1" applyFont="1" applyFill="1" applyBorder="1" applyProtection="1">
      <protection locked="0"/>
    </xf>
    <xf numFmtId="44" fontId="38" fillId="0" borderId="0" xfId="1" applyFont="1" applyFill="1"/>
    <xf numFmtId="0" fontId="27" fillId="0" borderId="75" xfId="0" applyFont="1" applyBorder="1"/>
    <xf numFmtId="44" fontId="38" fillId="0" borderId="0" xfId="0" applyNumberFormat="1" applyFont="1"/>
    <xf numFmtId="0" fontId="27" fillId="0" borderId="78" xfId="0" applyFont="1" applyBorder="1"/>
    <xf numFmtId="0" fontId="34" fillId="0" borderId="0" xfId="0" applyFont="1"/>
    <xf numFmtId="0" fontId="38" fillId="0" borderId="0" xfId="0" quotePrefix="1" applyFont="1" applyAlignment="1">
      <alignment horizontal="right"/>
    </xf>
    <xf numFmtId="44" fontId="66" fillId="0" borderId="0" xfId="1" applyFont="1"/>
    <xf numFmtId="0" fontId="27" fillId="0" borderId="3" xfId="0" applyFont="1" applyBorder="1"/>
    <xf numFmtId="0" fontId="38" fillId="0" borderId="0" xfId="0" quotePrefix="1" applyFont="1"/>
    <xf numFmtId="44" fontId="66" fillId="0" borderId="1" xfId="1" applyFont="1" applyBorder="1"/>
    <xf numFmtId="44" fontId="27" fillId="0" borderId="0" xfId="0" applyNumberFormat="1" applyFont="1"/>
    <xf numFmtId="1" fontId="27" fillId="0" borderId="0" xfId="0" applyNumberFormat="1" applyFont="1"/>
    <xf numFmtId="166" fontId="27" fillId="10" borderId="10" xfId="0" applyNumberFormat="1" applyFont="1" applyFill="1" applyBorder="1" applyProtection="1">
      <protection locked="0"/>
    </xf>
    <xf numFmtId="0" fontId="27" fillId="10" borderId="9" xfId="0" applyFont="1" applyFill="1" applyBorder="1" applyProtection="1">
      <protection locked="0"/>
    </xf>
    <xf numFmtId="44" fontId="66" fillId="0" borderId="1" xfId="1" applyFont="1" applyBorder="1" applyProtection="1">
      <protection locked="0"/>
    </xf>
    <xf numFmtId="0" fontId="27" fillId="0" borderId="26" xfId="0" applyFont="1" applyBorder="1"/>
    <xf numFmtId="44" fontId="27" fillId="0" borderId="27" xfId="0" applyNumberFormat="1" applyFont="1" applyBorder="1"/>
    <xf numFmtId="44" fontId="66" fillId="0" borderId="36" xfId="1" applyFont="1" applyBorder="1"/>
    <xf numFmtId="0" fontId="27" fillId="0" borderId="28" xfId="0" applyFont="1" applyBorder="1"/>
    <xf numFmtId="0" fontId="27" fillId="0" borderId="15" xfId="0" applyFont="1" applyBorder="1"/>
    <xf numFmtId="49" fontId="34" fillId="0" borderId="0" xfId="6" applyFont="1" applyAlignment="1">
      <alignment horizontal="left" wrapText="1"/>
    </xf>
    <xf numFmtId="49" fontId="34" fillId="0" borderId="0" xfId="6" applyFont="1" applyAlignment="1">
      <alignment wrapText="1"/>
    </xf>
    <xf numFmtId="49" fontId="51" fillId="0" borderId="0" xfId="6" applyFont="1" applyProtection="1">
      <protection locked="0"/>
    </xf>
    <xf numFmtId="49" fontId="34" fillId="0" borderId="0" xfId="6" applyFont="1" applyAlignment="1" applyProtection="1">
      <alignment wrapText="1"/>
      <protection locked="0"/>
    </xf>
    <xf numFmtId="49" fontId="34" fillId="0" borderId="0" xfId="6" applyFont="1"/>
    <xf numFmtId="49" fontId="38" fillId="0" borderId="0" xfId="6" applyFont="1"/>
    <xf numFmtId="49" fontId="37" fillId="0" borderId="0" xfId="6" applyFont="1"/>
    <xf numFmtId="0" fontId="38" fillId="0" borderId="0" xfId="3" applyFont="1" applyProtection="1">
      <protection locked="0"/>
    </xf>
    <xf numFmtId="0" fontId="54" fillId="0" borderId="0" xfId="3" applyFont="1"/>
    <xf numFmtId="0" fontId="64" fillId="0" borderId="0" xfId="0" applyFont="1"/>
    <xf numFmtId="44" fontId="64" fillId="0" borderId="0" xfId="1" applyFont="1"/>
    <xf numFmtId="49" fontId="36" fillId="0" borderId="15" xfId="6" applyFont="1" applyBorder="1" applyAlignment="1">
      <alignment horizontal="left"/>
    </xf>
    <xf numFmtId="0" fontId="64" fillId="0" borderId="15" xfId="0" applyFont="1" applyBorder="1" applyAlignment="1">
      <alignment horizontal="left"/>
    </xf>
    <xf numFmtId="49" fontId="36" fillId="0" borderId="15" xfId="6" applyFont="1" applyBorder="1"/>
    <xf numFmtId="0" fontId="64" fillId="0" borderId="15" xfId="0" applyFont="1" applyBorder="1"/>
    <xf numFmtId="0" fontId="51" fillId="0" borderId="15" xfId="3" applyFont="1" applyBorder="1" applyAlignment="1">
      <alignment horizontal="left"/>
    </xf>
    <xf numFmtId="176" fontId="51" fillId="0" borderId="15" xfId="3" applyNumberFormat="1" applyFont="1" applyBorder="1" applyAlignment="1">
      <alignment horizontal="left"/>
    </xf>
    <xf numFmtId="0" fontId="9" fillId="0" borderId="15" xfId="3" applyFont="1" applyBorder="1"/>
    <xf numFmtId="49" fontId="42" fillId="0" borderId="15" xfId="6" applyFont="1" applyBorder="1" applyAlignment="1">
      <alignment horizontal="left"/>
    </xf>
    <xf numFmtId="0" fontId="1" fillId="0" borderId="15" xfId="0" applyFont="1" applyBorder="1" applyAlignment="1">
      <alignment horizontal="left"/>
    </xf>
    <xf numFmtId="0" fontId="38" fillId="0" borderId="15" xfId="3" applyFont="1" applyBorder="1" applyAlignment="1">
      <alignment horizontal="left"/>
    </xf>
    <xf numFmtId="176" fontId="38" fillId="0" borderId="15" xfId="3" applyNumberFormat="1" applyFont="1" applyBorder="1" applyAlignment="1">
      <alignment horizontal="left"/>
    </xf>
    <xf numFmtId="49" fontId="62" fillId="0" borderId="0" xfId="6" applyFont="1" applyAlignment="1">
      <alignment horizontal="right"/>
    </xf>
    <xf numFmtId="0" fontId="0" fillId="0" borderId="0" xfId="0" applyAlignment="1">
      <alignment horizontal="left" vertical="top"/>
    </xf>
    <xf numFmtId="0" fontId="0" fillId="0" borderId="0" xfId="0" applyAlignment="1">
      <alignment horizontal="left" vertical="top" wrapText="1"/>
    </xf>
    <xf numFmtId="167" fontId="38" fillId="2" borderId="0" xfId="5" applyNumberFormat="1" applyFont="1" applyFill="1" applyBorder="1" applyAlignment="1">
      <alignment horizontal="right"/>
    </xf>
    <xf numFmtId="0" fontId="35" fillId="0" borderId="0" xfId="3" applyFont="1" applyAlignment="1">
      <alignment horizontal="left" vertical="top"/>
    </xf>
    <xf numFmtId="0" fontId="38" fillId="0" borderId="0" xfId="3" applyFont="1" applyAlignment="1" applyProtection="1">
      <alignment horizontal="left"/>
      <protection locked="0"/>
    </xf>
    <xf numFmtId="0" fontId="0" fillId="0" borderId="0" xfId="0" applyAlignment="1">
      <alignment horizontal="left" vertical="center" readingOrder="1"/>
    </xf>
    <xf numFmtId="0" fontId="72" fillId="0" borderId="0" xfId="0" applyFont="1" applyAlignment="1">
      <alignment horizontal="left" vertical="center" readingOrder="1"/>
    </xf>
    <xf numFmtId="0" fontId="73" fillId="0" borderId="0" xfId="0" applyFont="1" applyAlignment="1">
      <alignment horizontal="left" vertical="center" readingOrder="1"/>
    </xf>
    <xf numFmtId="0" fontId="7" fillId="11" borderId="6" xfId="0" applyFont="1" applyFill="1" applyBorder="1"/>
    <xf numFmtId="0" fontId="7" fillId="11" borderId="12" xfId="0" applyFont="1" applyFill="1" applyBorder="1"/>
    <xf numFmtId="0" fontId="7" fillId="11" borderId="9" xfId="0" applyFont="1" applyFill="1" applyBorder="1"/>
    <xf numFmtId="44" fontId="27" fillId="10" borderId="0" xfId="1" applyFont="1" applyFill="1" applyProtection="1">
      <protection locked="0"/>
    </xf>
    <xf numFmtId="9" fontId="27" fillId="10" borderId="10" xfId="0" applyNumberFormat="1" applyFont="1" applyFill="1" applyBorder="1" applyProtection="1">
      <protection locked="0"/>
    </xf>
    <xf numFmtId="164" fontId="27" fillId="10" borderId="10" xfId="0" applyNumberFormat="1" applyFont="1" applyFill="1" applyBorder="1" applyProtection="1">
      <protection locked="0"/>
    </xf>
    <xf numFmtId="14" fontId="24" fillId="10" borderId="10" xfId="0" applyNumberFormat="1" applyFont="1" applyFill="1" applyBorder="1" applyProtection="1">
      <protection locked="0"/>
    </xf>
    <xf numFmtId="0" fontId="64" fillId="0" borderId="0" xfId="0" applyFont="1" applyAlignment="1">
      <alignment vertical="center"/>
    </xf>
    <xf numFmtId="169" fontId="29" fillId="0" borderId="0" xfId="3" applyNumberFormat="1" applyFont="1" applyAlignment="1">
      <alignment horizontal="right"/>
    </xf>
    <xf numFmtId="0" fontId="61" fillId="0" borderId="47" xfId="3" applyFont="1" applyBorder="1" applyAlignment="1">
      <alignment horizontal="left"/>
    </xf>
    <xf numFmtId="0" fontId="61" fillId="0" borderId="1" xfId="3" applyFont="1" applyBorder="1" applyAlignment="1">
      <alignment horizontal="left"/>
    </xf>
    <xf numFmtId="0" fontId="61" fillId="0" borderId="1" xfId="3" applyFont="1" applyBorder="1" applyAlignment="1">
      <alignment horizontal="right"/>
    </xf>
    <xf numFmtId="0" fontId="61" fillId="0" borderId="57" xfId="3" applyFont="1" applyBorder="1" applyAlignment="1">
      <alignment horizontal="left"/>
    </xf>
    <xf numFmtId="0" fontId="61" fillId="0" borderId="47" xfId="3" applyFont="1" applyBorder="1" applyAlignment="1">
      <alignment horizontal="right"/>
    </xf>
    <xf numFmtId="0" fontId="61" fillId="0" borderId="57" xfId="3" applyFont="1" applyBorder="1" applyAlignment="1">
      <alignment horizontal="right"/>
    </xf>
    <xf numFmtId="0" fontId="61" fillId="5" borderId="57" xfId="3" applyFont="1" applyFill="1" applyBorder="1" applyAlignment="1" applyProtection="1">
      <alignment horizontal="left"/>
      <protection locked="0"/>
    </xf>
    <xf numFmtId="0" fontId="61" fillId="0" borderId="4" xfId="3" applyFont="1" applyBorder="1" applyAlignment="1">
      <alignment horizontal="left"/>
    </xf>
    <xf numFmtId="0" fontId="61" fillId="0" borderId="4" xfId="3" applyFont="1" applyBorder="1" applyAlignment="1">
      <alignment horizontal="right"/>
    </xf>
    <xf numFmtId="0" fontId="61" fillId="0" borderId="2" xfId="3" applyFont="1" applyBorder="1" applyAlignment="1">
      <alignment horizontal="left"/>
    </xf>
    <xf numFmtId="0" fontId="61" fillId="0" borderId="2" xfId="3" applyFont="1" applyBorder="1" applyAlignment="1">
      <alignment horizontal="right"/>
    </xf>
    <xf numFmtId="0" fontId="1" fillId="5" borderId="15" xfId="0" applyFont="1" applyFill="1" applyBorder="1" applyProtection="1">
      <protection locked="0"/>
    </xf>
    <xf numFmtId="0" fontId="24" fillId="0" borderId="47" xfId="0" applyFont="1" applyBorder="1"/>
    <xf numFmtId="0" fontId="24" fillId="0" borderId="57" xfId="0" applyFont="1" applyBorder="1"/>
    <xf numFmtId="0" fontId="24" fillId="0" borderId="4" xfId="0" applyFont="1" applyBorder="1"/>
    <xf numFmtId="0" fontId="25" fillId="5" borderId="4" xfId="0" applyFont="1" applyFill="1" applyBorder="1" applyAlignment="1" applyProtection="1">
      <alignment horizontal="right"/>
      <protection locked="0"/>
    </xf>
    <xf numFmtId="0" fontId="24" fillId="0" borderId="1" xfId="0" applyFont="1" applyBorder="1"/>
    <xf numFmtId="0" fontId="24" fillId="0" borderId="1" xfId="0" applyFont="1" applyBorder="1" applyAlignment="1">
      <alignment horizontal="right"/>
    </xf>
    <xf numFmtId="0" fontId="25" fillId="5" borderId="1" xfId="0" applyFont="1" applyFill="1" applyBorder="1" applyAlignment="1" applyProtection="1">
      <alignment horizontal="right"/>
      <protection locked="0"/>
    </xf>
    <xf numFmtId="0" fontId="25" fillId="0" borderId="57" xfId="0" applyFont="1" applyBorder="1" applyAlignment="1">
      <alignment horizontal="right"/>
    </xf>
    <xf numFmtId="9" fontId="1" fillId="0" borderId="30" xfId="0" applyNumberFormat="1" applyFont="1" applyBorder="1" applyAlignment="1" applyProtection="1">
      <alignment horizontal="center"/>
      <protection locked="0"/>
    </xf>
    <xf numFmtId="1" fontId="1" fillId="5" borderId="33" xfId="0" applyNumberFormat="1" applyFont="1" applyFill="1" applyBorder="1" applyAlignment="1" applyProtection="1">
      <alignment horizontal="center" vertical="center"/>
      <protection locked="0"/>
    </xf>
    <xf numFmtId="9" fontId="1" fillId="0" borderId="32" xfId="0" applyNumberFormat="1" applyFont="1" applyBorder="1" applyAlignment="1">
      <alignment horizontal="center" vertical="center"/>
    </xf>
    <xf numFmtId="0" fontId="24" fillId="0" borderId="47" xfId="0" applyFont="1" applyBorder="1" applyAlignment="1">
      <alignment horizontal="right"/>
    </xf>
    <xf numFmtId="0" fontId="24" fillId="5" borderId="57" xfId="0" applyFont="1" applyFill="1" applyBorder="1" applyAlignment="1" applyProtection="1">
      <alignment horizontal="right"/>
      <protection locked="0"/>
    </xf>
    <xf numFmtId="0" fontId="24" fillId="0" borderId="57" xfId="0" applyFont="1" applyBorder="1" applyAlignment="1">
      <alignment horizontal="right"/>
    </xf>
    <xf numFmtId="0" fontId="24" fillId="0" borderId="32" xfId="0" applyFont="1" applyBorder="1"/>
    <xf numFmtId="0" fontId="24" fillId="0" borderId="32" xfId="0" applyFont="1" applyBorder="1" applyAlignment="1">
      <alignment horizontal="right"/>
    </xf>
    <xf numFmtId="179" fontId="42" fillId="0" borderId="0" xfId="3" applyNumberFormat="1" applyFont="1" applyAlignment="1">
      <alignment horizontal="left"/>
    </xf>
    <xf numFmtId="14" fontId="29" fillId="0" borderId="0" xfId="6" applyNumberFormat="1" applyFont="1" applyAlignment="1">
      <alignment horizontal="left"/>
    </xf>
    <xf numFmtId="172" fontId="29" fillId="0" borderId="0" xfId="6" applyNumberFormat="1" applyFont="1" applyAlignment="1">
      <alignment horizontal="right"/>
    </xf>
    <xf numFmtId="0" fontId="55" fillId="0" borderId="0" xfId="3" applyFont="1" applyAlignment="1">
      <alignment horizontal="right"/>
    </xf>
    <xf numFmtId="169" fontId="29" fillId="0" borderId="0" xfId="3" applyNumberFormat="1" applyFont="1"/>
    <xf numFmtId="0" fontId="42" fillId="0" borderId="15" xfId="6" applyNumberFormat="1" applyFont="1" applyBorder="1" applyAlignment="1">
      <alignment horizontal="left"/>
    </xf>
    <xf numFmtId="14" fontId="38" fillId="0" borderId="0" xfId="3" applyNumberFormat="1" applyFont="1"/>
    <xf numFmtId="169" fontId="38" fillId="0" borderId="0" xfId="3" applyNumberFormat="1" applyFont="1" applyAlignment="1">
      <alignment vertical="center"/>
    </xf>
    <xf numFmtId="0" fontId="75" fillId="11" borderId="10" xfId="0" applyFont="1" applyFill="1" applyBorder="1" applyProtection="1">
      <protection locked="0"/>
    </xf>
    <xf numFmtId="0" fontId="29" fillId="11" borderId="0" xfId="0" applyFont="1" applyFill="1"/>
    <xf numFmtId="0" fontId="75" fillId="11" borderId="11" xfId="0" applyFont="1" applyFill="1" applyBorder="1" applyProtection="1">
      <protection locked="0"/>
    </xf>
    <xf numFmtId="0" fontId="51" fillId="11" borderId="0" xfId="0" applyFont="1" applyFill="1"/>
    <xf numFmtId="0" fontId="42" fillId="11" borderId="0" xfId="0" applyFont="1" applyFill="1"/>
    <xf numFmtId="0" fontId="0" fillId="0" borderId="29" xfId="0" applyBorder="1" applyAlignment="1">
      <alignment horizontal="center" vertical="center" wrapText="1"/>
    </xf>
    <xf numFmtId="169" fontId="38" fillId="0" borderId="0" xfId="3" applyNumberFormat="1" applyFont="1" applyAlignment="1">
      <alignment horizontal="center"/>
    </xf>
    <xf numFmtId="0" fontId="0" fillId="0" borderId="60" xfId="0" applyBorder="1"/>
    <xf numFmtId="0" fontId="0" fillId="0" borderId="51" xfId="0" applyBorder="1"/>
    <xf numFmtId="0" fontId="23" fillId="0" borderId="28" xfId="0" applyFont="1" applyBorder="1" applyAlignment="1">
      <alignment horizontal="right" indent="1"/>
    </xf>
    <xf numFmtId="0" fontId="0" fillId="5" borderId="78" xfId="0" applyFill="1" applyBorder="1" applyProtection="1">
      <protection locked="0"/>
    </xf>
    <xf numFmtId="9" fontId="26" fillId="0" borderId="0" xfId="0" applyNumberFormat="1" applyFont="1"/>
    <xf numFmtId="0" fontId="27" fillId="0" borderId="32" xfId="0" applyFont="1" applyBorder="1" applyAlignment="1">
      <alignment horizontal="center" vertical="center" wrapText="1"/>
    </xf>
    <xf numFmtId="1" fontId="26" fillId="5" borderId="33" xfId="0" applyNumberFormat="1" applyFont="1" applyFill="1" applyBorder="1" applyAlignment="1" applyProtection="1">
      <alignment vertical="center"/>
      <protection locked="0"/>
    </xf>
    <xf numFmtId="169" fontId="42" fillId="0" borderId="57" xfId="3" applyNumberFormat="1" applyFont="1" applyBorder="1" applyAlignment="1">
      <alignment horizontal="center"/>
    </xf>
    <xf numFmtId="169" fontId="42" fillId="0" borderId="49" xfId="3" applyNumberFormat="1" applyFont="1" applyBorder="1" applyAlignment="1">
      <alignment horizontal="center"/>
    </xf>
    <xf numFmtId="169" fontId="42" fillId="0" borderId="57" xfId="3" applyNumberFormat="1" applyFont="1" applyBorder="1" applyAlignment="1">
      <alignment horizontal="center" vertical="center"/>
    </xf>
    <xf numFmtId="169" fontId="42" fillId="0" borderId="49" xfId="3" applyNumberFormat="1" applyFont="1" applyBorder="1" applyAlignment="1">
      <alignment horizontal="center" vertical="center"/>
    </xf>
    <xf numFmtId="49" fontId="27" fillId="10" borderId="10" xfId="0" applyNumberFormat="1" applyFont="1" applyFill="1" applyBorder="1" applyProtection="1">
      <protection locked="0"/>
    </xf>
    <xf numFmtId="7" fontId="27" fillId="10" borderId="10" xfId="1" applyNumberFormat="1" applyFont="1" applyFill="1" applyBorder="1" applyProtection="1">
      <protection locked="0"/>
    </xf>
    <xf numFmtId="9" fontId="27" fillId="10" borderId="10" xfId="0" applyNumberFormat="1" applyFont="1" applyFill="1" applyBorder="1"/>
    <xf numFmtId="0" fontId="65" fillId="0" borderId="0" xfId="0" applyFont="1" applyAlignment="1">
      <alignment vertical="center"/>
    </xf>
    <xf numFmtId="0" fontId="0" fillId="0" borderId="0" xfId="3" applyFont="1"/>
    <xf numFmtId="14" fontId="0" fillId="0" borderId="6" xfId="0" applyNumberFormat="1" applyBorder="1" applyAlignment="1">
      <alignment horizontal="center"/>
    </xf>
    <xf numFmtId="0" fontId="65" fillId="0" borderId="0" xfId="0" applyFont="1"/>
    <xf numFmtId="0" fontId="36" fillId="0" borderId="0" xfId="3" applyFont="1" applyAlignment="1">
      <alignment vertical="center"/>
    </xf>
    <xf numFmtId="0" fontId="74" fillId="0" borderId="2" xfId="0" applyFont="1" applyBorder="1" applyAlignment="1">
      <alignment horizontal="right"/>
    </xf>
    <xf numFmtId="0" fontId="1" fillId="5" borderId="57" xfId="0" applyFont="1" applyFill="1" applyBorder="1" applyProtection="1">
      <protection locked="0"/>
    </xf>
    <xf numFmtId="0" fontId="69" fillId="11" borderId="0" xfId="0" applyFont="1" applyFill="1" applyAlignment="1">
      <alignment vertical="center"/>
    </xf>
    <xf numFmtId="0" fontId="29" fillId="0" borderId="1" xfId="6" applyNumberFormat="1" applyFont="1" applyBorder="1" applyAlignment="1">
      <alignment horizontal="center" vertical="center"/>
    </xf>
    <xf numFmtId="0" fontId="29" fillId="0" borderId="1" xfId="6" applyNumberFormat="1" applyFont="1" applyBorder="1" applyAlignment="1" applyProtection="1">
      <alignment horizontal="center" vertical="center"/>
      <protection locked="0"/>
    </xf>
    <xf numFmtId="0" fontId="29" fillId="0" borderId="57" xfId="6" applyNumberFormat="1" applyFont="1" applyBorder="1" applyAlignment="1" applyProtection="1">
      <alignment horizontal="center" vertical="center"/>
      <protection locked="0"/>
    </xf>
    <xf numFmtId="0" fontId="29" fillId="0" borderId="1" xfId="3" applyFont="1" applyBorder="1" applyAlignment="1" applyProtection="1">
      <alignment horizontal="center" vertical="center"/>
      <protection locked="0"/>
    </xf>
    <xf numFmtId="0" fontId="29" fillId="0" borderId="57" xfId="3" applyFont="1" applyBorder="1" applyAlignment="1" applyProtection="1">
      <alignment horizontal="center" vertical="center"/>
      <protection locked="0"/>
    </xf>
    <xf numFmtId="0" fontId="29" fillId="0" borderId="47" xfId="6" applyNumberFormat="1" applyFont="1" applyBorder="1" applyAlignment="1">
      <alignment horizontal="center" vertical="center"/>
    </xf>
    <xf numFmtId="169" fontId="36" fillId="0" borderId="0" xfId="7" applyNumberFormat="1" applyFont="1" applyBorder="1" applyAlignment="1">
      <alignment horizontal="right"/>
    </xf>
    <xf numFmtId="2" fontId="29" fillId="0" borderId="43" xfId="6" applyNumberFormat="1" applyFont="1" applyBorder="1" applyAlignment="1" applyProtection="1">
      <alignment horizontal="center" vertical="center"/>
      <protection locked="0"/>
    </xf>
    <xf numFmtId="2" fontId="29" fillId="0" borderId="85" xfId="6" applyNumberFormat="1" applyFont="1" applyBorder="1" applyAlignment="1" applyProtection="1">
      <alignment horizontal="center" vertical="center"/>
      <protection locked="0"/>
    </xf>
    <xf numFmtId="2" fontId="29" fillId="0" borderId="45" xfId="6" applyNumberFormat="1" applyFont="1" applyBorder="1" applyAlignment="1" applyProtection="1">
      <alignment horizontal="center" vertical="center"/>
      <protection locked="0"/>
    </xf>
    <xf numFmtId="0" fontId="29" fillId="0" borderId="85" xfId="3" applyFont="1" applyBorder="1" applyAlignment="1" applyProtection="1">
      <alignment horizontal="center" vertical="center"/>
      <protection locked="0"/>
    </xf>
    <xf numFmtId="0" fontId="29" fillId="0" borderId="45" xfId="3" applyFont="1" applyBorder="1" applyAlignment="1" applyProtection="1">
      <alignment horizontal="center" vertical="center"/>
      <protection locked="0"/>
    </xf>
    <xf numFmtId="0" fontId="29" fillId="0" borderId="61" xfId="3" applyFont="1" applyBorder="1" applyAlignment="1" applyProtection="1">
      <alignment horizontal="center" vertical="center"/>
      <protection locked="0"/>
    </xf>
    <xf numFmtId="1" fontId="26" fillId="0" borderId="0" xfId="0" applyNumberFormat="1" applyFont="1"/>
    <xf numFmtId="1" fontId="79" fillId="0" borderId="3" xfId="0" applyNumberFormat="1" applyFont="1" applyBorder="1"/>
    <xf numFmtId="1" fontId="80" fillId="0" borderId="0" xfId="0" applyNumberFormat="1" applyFont="1"/>
    <xf numFmtId="0" fontId="35" fillId="0" borderId="0" xfId="3" applyFont="1" applyAlignment="1">
      <alignment horizontal="left"/>
    </xf>
    <xf numFmtId="0" fontId="23" fillId="0" borderId="0" xfId="0" applyFont="1" applyAlignment="1">
      <alignment horizontal="left"/>
    </xf>
    <xf numFmtId="0" fontId="63" fillId="0" borderId="0" xfId="0" applyFont="1" applyAlignment="1">
      <alignment horizontal="left"/>
    </xf>
    <xf numFmtId="0" fontId="34" fillId="0" borderId="0" xfId="3" applyFont="1" applyAlignment="1">
      <alignment horizontal="left" vertical="top"/>
    </xf>
    <xf numFmtId="44" fontId="27" fillId="0" borderId="0" xfId="1" applyFont="1" applyBorder="1" applyAlignment="1"/>
    <xf numFmtId="44" fontId="27" fillId="0" borderId="28" xfId="1" applyFont="1" applyBorder="1"/>
    <xf numFmtId="0" fontId="27" fillId="0" borderId="76" xfId="0" applyFont="1" applyBorder="1"/>
    <xf numFmtId="0" fontId="27" fillId="0" borderId="77" xfId="0" applyFont="1" applyBorder="1"/>
    <xf numFmtId="0" fontId="27" fillId="0" borderId="25" xfId="0" applyFont="1" applyBorder="1"/>
    <xf numFmtId="44" fontId="27" fillId="0" borderId="15" xfId="1" applyFont="1" applyBorder="1"/>
    <xf numFmtId="0" fontId="27" fillId="0" borderId="79" xfId="0" applyFont="1" applyBorder="1"/>
    <xf numFmtId="0" fontId="27" fillId="0" borderId="12" xfId="0" applyFont="1" applyBorder="1" applyAlignment="1">
      <alignment horizontal="center"/>
    </xf>
    <xf numFmtId="0" fontId="27" fillId="0" borderId="0" xfId="0" applyFont="1" applyAlignment="1" applyProtection="1">
      <alignment horizontal="left"/>
      <protection locked="0"/>
    </xf>
    <xf numFmtId="0" fontId="27" fillId="0" borderId="0" xfId="0" applyFont="1" applyAlignment="1">
      <alignment horizontal="center" vertical="top"/>
    </xf>
    <xf numFmtId="0" fontId="63" fillId="0" borderId="0" xfId="0" applyFont="1" applyAlignment="1">
      <alignment horizontal="left" vertical="top"/>
    </xf>
    <xf numFmtId="0" fontId="27" fillId="0" borderId="0" xfId="0" applyFont="1" applyAlignment="1" applyProtection="1">
      <alignment horizontal="right"/>
      <protection locked="0"/>
    </xf>
    <xf numFmtId="0" fontId="23" fillId="0" borderId="43" xfId="0" applyFont="1" applyBorder="1" applyAlignment="1">
      <alignment horizontal="left" vertical="center"/>
    </xf>
    <xf numFmtId="0" fontId="23" fillId="0" borderId="47" xfId="0" applyFont="1" applyBorder="1" applyAlignment="1">
      <alignment horizontal="left" vertical="center"/>
    </xf>
    <xf numFmtId="0" fontId="66" fillId="0" borderId="44" xfId="0" applyFont="1" applyBorder="1" applyAlignment="1">
      <alignment horizontal="center" vertical="top"/>
    </xf>
    <xf numFmtId="0" fontId="66" fillId="0" borderId="3" xfId="0" applyFont="1" applyBorder="1" applyAlignment="1">
      <alignment horizontal="left" vertical="center"/>
    </xf>
    <xf numFmtId="2" fontId="27" fillId="0" borderId="45" xfId="0" applyNumberFormat="1" applyFont="1" applyBorder="1"/>
    <xf numFmtId="44" fontId="36" fillId="0" borderId="0" xfId="6" applyNumberFormat="1" applyFont="1" applyAlignment="1">
      <alignment horizontal="right"/>
    </xf>
    <xf numFmtId="167" fontId="66" fillId="0" borderId="49" xfId="0" applyNumberFormat="1" applyFont="1" applyBorder="1"/>
    <xf numFmtId="167" fontId="27" fillId="0" borderId="57" xfId="0" applyNumberFormat="1" applyFont="1" applyBorder="1"/>
    <xf numFmtId="49" fontId="42" fillId="0" borderId="0" xfId="6" applyFont="1" applyAlignment="1">
      <alignment horizontal="left" vertical="center"/>
    </xf>
    <xf numFmtId="0" fontId="1" fillId="0" borderId="0" xfId="0" applyFont="1" applyAlignment="1">
      <alignment horizontal="left" vertical="center"/>
    </xf>
    <xf numFmtId="179" fontId="42" fillId="0" borderId="0" xfId="3" applyNumberFormat="1" applyFont="1" applyAlignment="1">
      <alignment horizontal="left" vertical="center"/>
    </xf>
    <xf numFmtId="0" fontId="23" fillId="0" borderId="0" xfId="0" applyFont="1" applyAlignment="1">
      <alignment horizontal="right" vertical="center"/>
    </xf>
    <xf numFmtId="0" fontId="38" fillId="0" borderId="0" xfId="3" applyFont="1" applyAlignment="1">
      <alignment horizontal="left" vertical="center"/>
    </xf>
    <xf numFmtId="1" fontId="42" fillId="0" borderId="0" xfId="6" applyNumberFormat="1" applyFont="1" applyAlignment="1">
      <alignment horizontal="left" vertical="center"/>
    </xf>
    <xf numFmtId="0" fontId="23" fillId="0" borderId="0" xfId="0" applyFont="1" applyAlignment="1">
      <alignment horizontal="left" vertical="center"/>
    </xf>
    <xf numFmtId="0" fontId="35" fillId="0" borderId="0" xfId="3" applyFont="1" applyAlignment="1">
      <alignment horizontal="left" vertical="center"/>
    </xf>
    <xf numFmtId="169" fontId="36" fillId="0" borderId="55" xfId="3" applyNumberFormat="1" applyFont="1" applyBorder="1"/>
    <xf numFmtId="0" fontId="1" fillId="0" borderId="0" xfId="0" applyFont="1"/>
    <xf numFmtId="9" fontId="38" fillId="0" borderId="0" xfId="3" applyNumberFormat="1" applyFont="1"/>
    <xf numFmtId="0" fontId="1" fillId="0" borderId="0" xfId="0" applyFont="1" applyAlignment="1">
      <alignment vertical="top"/>
    </xf>
    <xf numFmtId="0" fontId="38" fillId="0" borderId="0" xfId="3" applyFont="1" applyAlignment="1">
      <alignment vertical="center"/>
    </xf>
    <xf numFmtId="0" fontId="0" fillId="11" borderId="2" xfId="0" applyFill="1" applyBorder="1" applyAlignment="1">
      <alignment horizontal="left"/>
    </xf>
    <xf numFmtId="0" fontId="82" fillId="11" borderId="10" xfId="0" applyFont="1" applyFill="1" applyBorder="1" applyProtection="1">
      <protection locked="0"/>
    </xf>
    <xf numFmtId="0" fontId="83" fillId="11" borderId="0" xfId="0" applyFont="1" applyFill="1" applyProtection="1">
      <protection locked="0"/>
    </xf>
    <xf numFmtId="0" fontId="83" fillId="11" borderId="16" xfId="0" applyFont="1" applyFill="1" applyBorder="1" applyProtection="1">
      <protection locked="0"/>
    </xf>
    <xf numFmtId="0" fontId="84" fillId="11" borderId="7" xfId="0" applyFont="1" applyFill="1" applyBorder="1" applyAlignment="1">
      <alignment horizontal="left" vertical="top"/>
    </xf>
    <xf numFmtId="0" fontId="84" fillId="11" borderId="8" xfId="0" applyFont="1" applyFill="1" applyBorder="1" applyAlignment="1">
      <alignment horizontal="left" vertical="top"/>
    </xf>
    <xf numFmtId="0" fontId="84" fillId="11" borderId="0" xfId="0" applyFont="1" applyFill="1" applyAlignment="1">
      <alignment horizontal="left" vertical="top"/>
    </xf>
    <xf numFmtId="0" fontId="84" fillId="11" borderId="16" xfId="0" applyFont="1" applyFill="1" applyBorder="1" applyAlignment="1">
      <alignment horizontal="left" vertical="top"/>
    </xf>
    <xf numFmtId="0" fontId="84" fillId="11" borderId="0" xfId="0" applyFont="1" applyFill="1"/>
    <xf numFmtId="0" fontId="84" fillId="11" borderId="16" xfId="0" applyFont="1" applyFill="1" applyBorder="1" applyProtection="1">
      <protection locked="0"/>
    </xf>
    <xf numFmtId="0" fontId="84" fillId="11" borderId="0" xfId="0" applyFont="1" applyFill="1" applyProtection="1">
      <protection locked="0"/>
    </xf>
    <xf numFmtId="0" fontId="84" fillId="11" borderId="16" xfId="0" applyFont="1" applyFill="1" applyBorder="1"/>
    <xf numFmtId="0" fontId="85" fillId="11" borderId="16" xfId="0" applyFont="1" applyFill="1" applyBorder="1" applyProtection="1">
      <protection locked="0"/>
    </xf>
    <xf numFmtId="14" fontId="29" fillId="10" borderId="1" xfId="3" applyNumberFormat="1" applyFont="1" applyFill="1" applyBorder="1" applyAlignment="1" applyProtection="1">
      <alignment horizontal="center" vertical="center"/>
      <protection locked="0"/>
    </xf>
    <xf numFmtId="0" fontId="29" fillId="10" borderId="4" xfId="3" applyFont="1" applyFill="1" applyBorder="1" applyAlignment="1" applyProtection="1">
      <alignment horizontal="center" vertical="center"/>
      <protection locked="0"/>
    </xf>
    <xf numFmtId="0" fontId="29" fillId="10" borderId="1" xfId="3" applyFont="1" applyFill="1" applyBorder="1" applyAlignment="1">
      <alignment horizontal="center" vertical="center"/>
    </xf>
    <xf numFmtId="0" fontId="27" fillId="11" borderId="0" xfId="3" applyFont="1" applyFill="1"/>
    <xf numFmtId="0" fontId="86" fillId="0" borderId="0" xfId="3" applyFont="1"/>
    <xf numFmtId="44" fontId="27" fillId="0" borderId="3" xfId="1" applyFont="1" applyFill="1" applyBorder="1"/>
    <xf numFmtId="0" fontId="38" fillId="0" borderId="0" xfId="3" applyFont="1" applyAlignment="1">
      <alignment vertical="top"/>
    </xf>
    <xf numFmtId="0" fontId="27" fillId="10" borderId="10" xfId="0" applyFont="1" applyFill="1" applyBorder="1" applyAlignment="1" applyProtection="1">
      <alignment horizontal="center"/>
      <protection locked="0"/>
    </xf>
    <xf numFmtId="0" fontId="29" fillId="0" borderId="1" xfId="3" applyFont="1" applyBorder="1"/>
    <xf numFmtId="0" fontId="29" fillId="0" borderId="1" xfId="3" applyFont="1" applyBorder="1" applyAlignment="1">
      <alignment horizontal="center" vertical="center"/>
    </xf>
    <xf numFmtId="169" fontId="36" fillId="13" borderId="51" xfId="3" applyNumberFormat="1" applyFont="1" applyFill="1" applyBorder="1" applyAlignment="1">
      <alignment horizontal="center" vertical="center"/>
    </xf>
    <xf numFmtId="169" fontId="36" fillId="13" borderId="79" xfId="7" applyNumberFormat="1" applyFont="1" applyFill="1" applyBorder="1" applyAlignment="1">
      <alignment horizontal="center" vertical="center"/>
    </xf>
    <xf numFmtId="0" fontId="51" fillId="0" borderId="0" xfId="3" applyFont="1" applyAlignment="1">
      <alignment horizontal="right"/>
    </xf>
    <xf numFmtId="167" fontId="71" fillId="12" borderId="3" xfId="5" applyNumberFormat="1" applyFont="1" applyFill="1" applyBorder="1" applyAlignment="1">
      <alignment horizontal="center" vertical="center"/>
    </xf>
    <xf numFmtId="0" fontId="38" fillId="0" borderId="0" xfId="3" applyFont="1" applyAlignment="1">
      <alignment horizontal="left" vertical="top"/>
    </xf>
    <xf numFmtId="0" fontId="1" fillId="0" borderId="2" xfId="0" applyFont="1" applyBorder="1" applyAlignment="1">
      <alignment horizontal="left" vertical="center"/>
    </xf>
    <xf numFmtId="49" fontId="38" fillId="0" borderId="10" xfId="3" quotePrefix="1" applyNumberFormat="1" applyFont="1" applyBorder="1" applyAlignment="1">
      <alignment horizontal="center" vertical="center"/>
    </xf>
    <xf numFmtId="169" fontId="36" fillId="13" borderId="79" xfId="3" applyNumberFormat="1" applyFont="1" applyFill="1" applyBorder="1" applyAlignment="1">
      <alignment horizontal="center" vertical="center"/>
    </xf>
    <xf numFmtId="0" fontId="29" fillId="0" borderId="43" xfId="3" applyFont="1" applyBorder="1" applyAlignment="1" applyProtection="1">
      <alignment horizontal="center" vertical="center"/>
      <protection locked="0"/>
    </xf>
    <xf numFmtId="0" fontId="29" fillId="0" borderId="47" xfId="3" applyFont="1" applyBorder="1" applyAlignment="1" applyProtection="1">
      <alignment horizontal="center" vertical="center"/>
      <protection locked="0"/>
    </xf>
    <xf numFmtId="0" fontId="29" fillId="0" borderId="0" xfId="3" applyFont="1" applyAlignment="1">
      <alignment vertical="center"/>
    </xf>
    <xf numFmtId="0" fontId="1" fillId="11" borderId="2" xfId="0" applyFont="1" applyFill="1" applyBorder="1" applyAlignment="1">
      <alignment horizontal="left" vertical="center"/>
    </xf>
    <xf numFmtId="0" fontId="1" fillId="11" borderId="1" xfId="0" applyFont="1" applyFill="1" applyBorder="1" applyAlignment="1">
      <alignment horizontal="left" vertical="center"/>
    </xf>
    <xf numFmtId="0" fontId="0" fillId="11" borderId="1" xfId="0" applyFill="1" applyBorder="1" applyAlignment="1">
      <alignment horizontal="left" vertical="center"/>
    </xf>
    <xf numFmtId="0" fontId="29" fillId="11" borderId="1" xfId="0" applyFont="1" applyFill="1" applyBorder="1" applyAlignment="1" applyProtection="1">
      <alignment horizontal="left" vertical="center"/>
      <protection locked="0"/>
    </xf>
    <xf numFmtId="0" fontId="0" fillId="0" borderId="1" xfId="0" applyBorder="1" applyAlignment="1">
      <alignment horizontal="left" vertical="center"/>
    </xf>
    <xf numFmtId="169" fontId="29" fillId="0" borderId="86" xfId="3" applyNumberFormat="1" applyFont="1" applyBorder="1" applyAlignment="1">
      <alignment horizontal="right" vertical="center"/>
    </xf>
    <xf numFmtId="169" fontId="29" fillId="0" borderId="47" xfId="5" applyNumberFormat="1" applyFont="1" applyBorder="1" applyAlignment="1" applyProtection="1">
      <alignment horizontal="right" vertical="center"/>
      <protection locked="0"/>
    </xf>
    <xf numFmtId="169" fontId="29" fillId="0" borderId="44" xfId="7" applyNumberFormat="1" applyFont="1" applyBorder="1" applyAlignment="1">
      <alignment horizontal="right" vertical="center"/>
    </xf>
    <xf numFmtId="169" fontId="29" fillId="0" borderId="1" xfId="5" applyNumberFormat="1" applyFont="1" applyBorder="1" applyAlignment="1" applyProtection="1">
      <alignment horizontal="right" vertical="center"/>
      <protection locked="0"/>
    </xf>
    <xf numFmtId="169" fontId="29" fillId="0" borderId="86" xfId="7" applyNumberFormat="1" applyFont="1" applyBorder="1" applyAlignment="1">
      <alignment horizontal="right" vertical="center"/>
    </xf>
    <xf numFmtId="169" fontId="29" fillId="0" borderId="57" xfId="5" applyNumberFormat="1" applyFont="1" applyBorder="1" applyAlignment="1" applyProtection="1">
      <alignment horizontal="right" vertical="center"/>
      <protection locked="0"/>
    </xf>
    <xf numFmtId="169" fontId="29" fillId="0" borderId="49" xfId="7" applyNumberFormat="1" applyFont="1" applyBorder="1" applyAlignment="1">
      <alignment horizontal="right" vertical="center"/>
    </xf>
    <xf numFmtId="169" fontId="29" fillId="0" borderId="4" xfId="3" applyNumberFormat="1" applyFont="1" applyBorder="1" applyAlignment="1" applyProtection="1">
      <alignment horizontal="right" vertical="center"/>
      <protection locked="0"/>
    </xf>
    <xf numFmtId="169" fontId="29" fillId="0" borderId="62" xfId="3" applyNumberFormat="1" applyFont="1" applyBorder="1" applyAlignment="1">
      <alignment horizontal="right" vertical="center"/>
    </xf>
    <xf numFmtId="169" fontId="29" fillId="0" borderId="1" xfId="3" applyNumberFormat="1" applyFont="1" applyBorder="1" applyAlignment="1" applyProtection="1">
      <alignment horizontal="right" vertical="center"/>
      <protection locked="0"/>
    </xf>
    <xf numFmtId="169" fontId="29" fillId="0" borderId="2" xfId="3" applyNumberFormat="1" applyFont="1" applyBorder="1" applyAlignment="1" applyProtection="1">
      <alignment horizontal="right" vertical="center"/>
      <protection locked="0"/>
    </xf>
    <xf numFmtId="169" fontId="29" fillId="0" borderId="91" xfId="3" applyNumberFormat="1" applyFont="1" applyBorder="1" applyAlignment="1">
      <alignment horizontal="right" vertical="center"/>
    </xf>
    <xf numFmtId="44" fontId="29" fillId="0" borderId="47" xfId="3" applyNumberFormat="1" applyFont="1" applyBorder="1" applyAlignment="1" applyProtection="1">
      <alignment horizontal="right" vertical="center"/>
      <protection locked="0"/>
    </xf>
    <xf numFmtId="44" fontId="29" fillId="0" borderId="44" xfId="3" applyNumberFormat="1" applyFont="1" applyBorder="1" applyAlignment="1">
      <alignment horizontal="right" vertical="center"/>
    </xf>
    <xf numFmtId="44" fontId="29" fillId="0" borderId="1" xfId="3" applyNumberFormat="1" applyFont="1" applyBorder="1" applyAlignment="1" applyProtection="1">
      <alignment horizontal="right" vertical="center"/>
      <protection locked="0"/>
    </xf>
    <xf numFmtId="44" fontId="29" fillId="0" borderId="86" xfId="3" applyNumberFormat="1" applyFont="1" applyBorder="1" applyAlignment="1">
      <alignment horizontal="right" vertical="center"/>
    </xf>
    <xf numFmtId="44" fontId="29" fillId="0" borderId="57" xfId="3" applyNumberFormat="1" applyFont="1" applyBorder="1" applyAlignment="1" applyProtection="1">
      <alignment horizontal="right" vertical="center"/>
      <protection locked="0"/>
    </xf>
    <xf numFmtId="44" fontId="29" fillId="0" borderId="49" xfId="3" applyNumberFormat="1" applyFont="1" applyBorder="1" applyAlignment="1">
      <alignment horizontal="right" vertical="center"/>
    </xf>
    <xf numFmtId="167" fontId="36" fillId="0" borderId="0" xfId="3" applyNumberFormat="1" applyFont="1" applyAlignment="1">
      <alignment vertical="center"/>
    </xf>
    <xf numFmtId="167" fontId="36" fillId="2" borderId="0" xfId="5" applyNumberFormat="1" applyFont="1" applyFill="1" applyBorder="1" applyAlignment="1">
      <alignment vertical="center"/>
    </xf>
    <xf numFmtId="167" fontId="36" fillId="0" borderId="10" xfId="5" applyNumberFormat="1" applyFont="1" applyBorder="1" applyAlignment="1">
      <alignment vertical="center"/>
    </xf>
    <xf numFmtId="167" fontId="36" fillId="2" borderId="0" xfId="5" applyNumberFormat="1" applyFont="1" applyFill="1" applyBorder="1" applyAlignment="1">
      <alignment horizontal="right" vertical="center"/>
    </xf>
    <xf numFmtId="0" fontId="36" fillId="0" borderId="1" xfId="3" applyFont="1" applyBorder="1" applyAlignment="1">
      <alignment horizontal="center" vertical="center"/>
    </xf>
    <xf numFmtId="0" fontId="38" fillId="0" borderId="0" xfId="3" applyFont="1" applyAlignment="1">
      <alignment horizontal="right" vertical="center"/>
    </xf>
    <xf numFmtId="0" fontId="51" fillId="2" borderId="0" xfId="3" applyFont="1" applyFill="1" applyAlignment="1">
      <alignment horizontal="left" vertical="center"/>
    </xf>
    <xf numFmtId="0" fontId="51" fillId="2" borderId="0" xfId="3" applyFont="1" applyFill="1" applyAlignment="1">
      <alignment vertical="center"/>
    </xf>
    <xf numFmtId="14" fontId="51" fillId="2" borderId="10" xfId="3" applyNumberFormat="1" applyFont="1" applyFill="1" applyBorder="1" applyAlignment="1">
      <alignment horizontal="center" vertical="center"/>
    </xf>
    <xf numFmtId="0" fontId="0" fillId="11" borderId="0" xfId="0" applyFill="1"/>
    <xf numFmtId="0" fontId="23" fillId="10" borderId="0" xfId="0" applyFont="1" applyFill="1"/>
    <xf numFmtId="2" fontId="0" fillId="0" borderId="3" xfId="0" applyNumberFormat="1" applyBorder="1"/>
    <xf numFmtId="49" fontId="38" fillId="0" borderId="0" xfId="3" applyNumberFormat="1" applyFont="1" applyAlignment="1">
      <alignment horizontal="left"/>
    </xf>
    <xf numFmtId="0" fontId="36" fillId="0" borderId="0" xfId="3" applyFont="1" applyAlignment="1">
      <alignment horizontal="left" vertical="center"/>
    </xf>
    <xf numFmtId="0" fontId="29" fillId="0" borderId="0" xfId="3" applyFont="1" applyAlignment="1">
      <alignment horizontal="left"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1" fillId="0" borderId="1" xfId="0" applyFont="1" applyBorder="1" applyAlignment="1">
      <alignment horizontal="left" vertical="center"/>
    </xf>
    <xf numFmtId="14" fontId="38" fillId="0" borderId="0" xfId="3" applyNumberFormat="1" applyFont="1" applyAlignment="1">
      <alignment horizontal="left"/>
    </xf>
    <xf numFmtId="0" fontId="27" fillId="0" borderId="60" xfId="0" applyFont="1" applyBorder="1" applyProtection="1">
      <protection locked="0"/>
    </xf>
    <xf numFmtId="0" fontId="27" fillId="0" borderId="50" xfId="0" applyFont="1" applyBorder="1" applyAlignment="1">
      <alignment horizontal="right"/>
    </xf>
    <xf numFmtId="167" fontId="66" fillId="0" borderId="51" xfId="0" applyNumberFormat="1" applyFont="1" applyBorder="1" applyAlignment="1" applyProtection="1">
      <alignment horizontal="right"/>
      <protection locked="0"/>
    </xf>
    <xf numFmtId="0" fontId="29" fillId="0" borderId="47" xfId="3" applyFont="1" applyBorder="1" applyAlignment="1">
      <alignment horizontal="center" vertical="center"/>
    </xf>
    <xf numFmtId="0" fontId="42" fillId="11" borderId="95" xfId="3" applyFont="1" applyFill="1" applyBorder="1" applyAlignment="1">
      <alignment horizontal="left"/>
    </xf>
    <xf numFmtId="0" fontId="23" fillId="0" borderId="64" xfId="0" applyFont="1" applyBorder="1" applyAlignment="1">
      <alignment horizontal="left"/>
    </xf>
    <xf numFmtId="0" fontId="1" fillId="0" borderId="64" xfId="0" applyFont="1" applyBorder="1" applyAlignment="1">
      <alignment horizontal="left"/>
    </xf>
    <xf numFmtId="14" fontId="1" fillId="0" borderId="3" xfId="0" applyNumberFormat="1" applyFont="1" applyBorder="1" applyAlignment="1">
      <alignment horizontal="center"/>
    </xf>
    <xf numFmtId="0" fontId="29" fillId="0" borderId="57" xfId="3" applyFont="1" applyBorder="1" applyAlignment="1">
      <alignment horizontal="center" vertical="center"/>
    </xf>
    <xf numFmtId="0" fontId="29" fillId="0" borderId="4" xfId="3" applyFont="1" applyBorder="1" applyAlignment="1">
      <alignment horizontal="center" vertical="center"/>
    </xf>
    <xf numFmtId="0" fontId="27" fillId="0" borderId="46" xfId="0" applyFont="1" applyBorder="1" applyAlignment="1">
      <alignment horizontal="center" vertical="center"/>
    </xf>
    <xf numFmtId="0" fontId="38" fillId="0" borderId="46" xfId="3" applyFont="1" applyBorder="1"/>
    <xf numFmtId="0" fontId="38" fillId="0" borderId="53" xfId="3" applyFont="1" applyBorder="1" applyAlignment="1">
      <alignment horizontal="center" vertical="center"/>
    </xf>
    <xf numFmtId="0" fontId="36" fillId="0" borderId="0" xfId="3" quotePrefix="1" applyFont="1"/>
    <xf numFmtId="0" fontId="51" fillId="0" borderId="0" xfId="3" applyFont="1"/>
    <xf numFmtId="0" fontId="27" fillId="0" borderId="52" xfId="0" applyFont="1" applyBorder="1"/>
    <xf numFmtId="0" fontId="29" fillId="0" borderId="13" xfId="3" applyFont="1" applyBorder="1" applyAlignment="1">
      <alignment horizontal="center" vertical="center"/>
    </xf>
    <xf numFmtId="9" fontId="29" fillId="0" borderId="34" xfId="3" applyNumberFormat="1" applyFont="1" applyBorder="1" applyAlignment="1">
      <alignment horizontal="center" vertical="center"/>
    </xf>
    <xf numFmtId="167" fontId="42" fillId="0" borderId="82" xfId="3" applyNumberFormat="1" applyFont="1" applyBorder="1" applyAlignment="1">
      <alignment horizontal="right"/>
    </xf>
    <xf numFmtId="9" fontId="29" fillId="0" borderId="96" xfId="3" applyNumberFormat="1" applyFont="1" applyBorder="1" applyAlignment="1">
      <alignment horizontal="center" vertical="center"/>
    </xf>
    <xf numFmtId="167" fontId="29" fillId="0" borderId="84" xfId="3" applyNumberFormat="1" applyFont="1" applyBorder="1" applyAlignment="1">
      <alignment horizontal="right"/>
    </xf>
    <xf numFmtId="9" fontId="29" fillId="0" borderId="9" xfId="3" applyNumberFormat="1" applyFont="1" applyBorder="1" applyAlignment="1">
      <alignment horizontal="center" vertical="center"/>
    </xf>
    <xf numFmtId="167" fontId="29" fillId="0" borderId="97" xfId="3" applyNumberFormat="1" applyFont="1" applyBorder="1" applyAlignment="1">
      <alignment horizontal="right"/>
    </xf>
    <xf numFmtId="9" fontId="29" fillId="0" borderId="13" xfId="3" applyNumberFormat="1" applyFont="1" applyBorder="1" applyAlignment="1">
      <alignment horizontal="center" vertical="center"/>
    </xf>
    <xf numFmtId="167" fontId="29" fillId="0" borderId="83" xfId="3" applyNumberFormat="1" applyFont="1" applyBorder="1" applyAlignment="1">
      <alignment horizontal="right"/>
    </xf>
    <xf numFmtId="0" fontId="29" fillId="0" borderId="5" xfId="3" applyFont="1" applyBorder="1" applyAlignment="1">
      <alignment horizontal="center" vertical="center"/>
    </xf>
    <xf numFmtId="0" fontId="42" fillId="11" borderId="13" xfId="3" applyFont="1" applyFill="1" applyBorder="1" applyAlignment="1">
      <alignment horizontal="left"/>
    </xf>
    <xf numFmtId="0" fontId="1" fillId="0" borderId="11" xfId="0" applyFont="1" applyBorder="1" applyAlignment="1">
      <alignment horizontal="center"/>
    </xf>
    <xf numFmtId="2" fontId="29" fillId="0" borderId="1" xfId="3" applyNumberFormat="1" applyFont="1" applyBorder="1" applyAlignment="1">
      <alignment horizontal="center" vertical="center"/>
    </xf>
    <xf numFmtId="167" fontId="36" fillId="5" borderId="3" xfId="3" applyNumberFormat="1" applyFont="1" applyFill="1" applyBorder="1" applyAlignment="1">
      <alignment horizontal="center"/>
    </xf>
    <xf numFmtId="0" fontId="38" fillId="0" borderId="2" xfId="3" applyFont="1" applyBorder="1"/>
    <xf numFmtId="0" fontId="27" fillId="0" borderId="29" xfId="0" applyFont="1" applyBorder="1"/>
    <xf numFmtId="0" fontId="27" fillId="0" borderId="32" xfId="0" applyFont="1" applyBorder="1" applyAlignment="1">
      <alignment horizontal="center" vertical="center"/>
    </xf>
    <xf numFmtId="0" fontId="38" fillId="0" borderId="32" xfId="3" applyFont="1" applyBorder="1"/>
    <xf numFmtId="0" fontId="38" fillId="0" borderId="33" xfId="3" applyFont="1" applyBorder="1" applyAlignment="1">
      <alignment horizontal="center" vertical="center"/>
    </xf>
    <xf numFmtId="0" fontId="29" fillId="0" borderId="43" xfId="3" applyFont="1" applyBorder="1"/>
    <xf numFmtId="0" fontId="29" fillId="0" borderId="11" xfId="3" applyFont="1" applyBorder="1" applyAlignment="1">
      <alignment horizontal="center" vertical="center"/>
    </xf>
    <xf numFmtId="44" fontId="29" fillId="0" borderId="82" xfId="3" applyNumberFormat="1" applyFont="1" applyBorder="1" applyAlignment="1">
      <alignment horizontal="right" vertical="center"/>
    </xf>
    <xf numFmtId="0" fontId="29" fillId="0" borderId="85" xfId="3" applyFont="1" applyBorder="1"/>
    <xf numFmtId="44" fontId="29" fillId="0" borderId="83" xfId="3" applyNumberFormat="1" applyFont="1" applyBorder="1" applyAlignment="1">
      <alignment horizontal="right" vertical="center"/>
    </xf>
    <xf numFmtId="0" fontId="29" fillId="0" borderId="45" xfId="3" applyFont="1" applyBorder="1"/>
    <xf numFmtId="9" fontId="29" fillId="0" borderId="6" xfId="3" applyNumberFormat="1" applyFont="1" applyBorder="1" applyAlignment="1">
      <alignment horizontal="center" vertical="center"/>
    </xf>
    <xf numFmtId="44" fontId="29" fillId="0" borderId="84" xfId="3" applyNumberFormat="1" applyFont="1" applyBorder="1" applyAlignment="1">
      <alignment horizontal="right" vertical="center"/>
    </xf>
    <xf numFmtId="0" fontId="29" fillId="11" borderId="0" xfId="3" applyFont="1" applyFill="1" applyAlignment="1">
      <alignment horizontal="left" vertical="center"/>
    </xf>
    <xf numFmtId="0" fontId="29" fillId="0" borderId="0" xfId="3" applyFont="1" applyAlignment="1">
      <alignment horizontal="center" vertical="center"/>
    </xf>
    <xf numFmtId="44" fontId="29" fillId="0" borderId="0" xfId="3" applyNumberFormat="1" applyFont="1" applyAlignment="1">
      <alignment horizontal="right" vertical="center"/>
    </xf>
    <xf numFmtId="44" fontId="1" fillId="0" borderId="0" xfId="0" applyNumberFormat="1" applyFont="1" applyAlignment="1">
      <alignment horizontal="right" vertical="center"/>
    </xf>
    <xf numFmtId="0" fontId="42" fillId="0" borderId="3" xfId="3" applyFont="1" applyBorder="1" applyAlignment="1">
      <alignment horizontal="center" vertical="center"/>
    </xf>
    <xf numFmtId="44" fontId="36" fillId="5" borderId="26" xfId="3" applyNumberFormat="1" applyFont="1" applyFill="1" applyBorder="1" applyAlignment="1">
      <alignment horizontal="right" vertical="center"/>
    </xf>
    <xf numFmtId="0" fontId="42" fillId="0" borderId="75" xfId="3" applyFont="1" applyBorder="1"/>
    <xf numFmtId="0" fontId="29" fillId="11" borderId="28" xfId="3" applyFont="1" applyFill="1" applyBorder="1" applyAlignment="1">
      <alignment horizontal="left" vertical="center"/>
    </xf>
    <xf numFmtId="0" fontId="1" fillId="0" borderId="28" xfId="0" applyFont="1" applyBorder="1" applyAlignment="1">
      <alignment horizontal="left" vertical="center"/>
    </xf>
    <xf numFmtId="0" fontId="29" fillId="0" borderId="28" xfId="3" applyFont="1" applyBorder="1" applyAlignment="1">
      <alignment horizontal="center" vertical="center"/>
    </xf>
    <xf numFmtId="44" fontId="29" fillId="0" borderId="28" xfId="3" applyNumberFormat="1" applyFont="1" applyBorder="1" applyAlignment="1">
      <alignment horizontal="right" vertical="center"/>
    </xf>
    <xf numFmtId="44" fontId="1" fillId="0" borderId="28" xfId="0" applyNumberFormat="1" applyFont="1" applyBorder="1" applyAlignment="1">
      <alignment horizontal="right" vertical="center"/>
    </xf>
    <xf numFmtId="44" fontId="29" fillId="0" borderId="76" xfId="3" applyNumberFormat="1" applyFont="1" applyBorder="1" applyAlignment="1">
      <alignment horizontal="right" vertical="center"/>
    </xf>
    <xf numFmtId="0" fontId="42" fillId="0" borderId="77" xfId="3" applyFont="1" applyBorder="1"/>
    <xf numFmtId="44" fontId="29" fillId="0" borderId="25" xfId="3" applyNumberFormat="1" applyFont="1" applyBorder="1" applyAlignment="1">
      <alignment horizontal="right" vertical="center"/>
    </xf>
    <xf numFmtId="0" fontId="29" fillId="0" borderId="77" xfId="3" applyFont="1" applyBorder="1"/>
    <xf numFmtId="0" fontId="42" fillId="0" borderId="78" xfId="3" applyFont="1" applyBorder="1"/>
    <xf numFmtId="0" fontId="29" fillId="11" borderId="15" xfId="3" applyFont="1" applyFill="1" applyBorder="1" applyAlignment="1">
      <alignment horizontal="left" vertical="center"/>
    </xf>
    <xf numFmtId="0" fontId="1" fillId="0" borderId="15" xfId="0" applyFont="1" applyBorder="1" applyAlignment="1">
      <alignment horizontal="left" vertical="center"/>
    </xf>
    <xf numFmtId="0" fontId="29" fillId="0" borderId="15" xfId="3" applyFont="1" applyBorder="1" applyAlignment="1">
      <alignment horizontal="center" vertical="center"/>
    </xf>
    <xf numFmtId="44" fontId="29" fillId="0" borderId="15" xfId="3" applyNumberFormat="1" applyFont="1" applyBorder="1" applyAlignment="1">
      <alignment horizontal="right" vertical="center"/>
    </xf>
    <xf numFmtId="44" fontId="1" fillId="0" borderId="15" xfId="0" applyNumberFormat="1" applyFont="1" applyBorder="1" applyAlignment="1">
      <alignment horizontal="right" vertical="center"/>
    </xf>
    <xf numFmtId="44" fontId="29" fillId="0" borderId="79" xfId="3" applyNumberFormat="1" applyFont="1" applyBorder="1" applyAlignment="1">
      <alignment horizontal="right" vertical="center"/>
    </xf>
    <xf numFmtId="167" fontId="36" fillId="11" borderId="0" xfId="3" applyNumberFormat="1" applyFont="1" applyFill="1" applyAlignment="1">
      <alignment horizontal="center" vertical="center"/>
    </xf>
    <xf numFmtId="0" fontId="38" fillId="0" borderId="0" xfId="3" applyFont="1" applyAlignment="1">
      <alignment horizontal="center" vertical="top"/>
    </xf>
    <xf numFmtId="0" fontId="78" fillId="0" borderId="0" xfId="3" applyFont="1" applyAlignment="1">
      <alignment horizontal="center" vertical="center"/>
    </xf>
    <xf numFmtId="0" fontId="38" fillId="0" borderId="0" xfId="3" applyFont="1" applyAlignment="1">
      <alignment horizontal="center"/>
    </xf>
    <xf numFmtId="0" fontId="0" fillId="0" borderId="0" xfId="0" applyAlignment="1">
      <alignment vertical="top" wrapText="1"/>
    </xf>
    <xf numFmtId="0" fontId="36" fillId="0" borderId="0" xfId="3" applyFont="1" applyAlignment="1">
      <alignment horizontal="left" vertical="center"/>
    </xf>
    <xf numFmtId="0" fontId="68" fillId="0" borderId="0" xfId="0" applyFont="1" applyAlignment="1">
      <alignment horizontal="left" vertical="center"/>
    </xf>
    <xf numFmtId="0" fontId="87" fillId="12" borderId="0" xfId="3" applyFont="1" applyFill="1" applyAlignment="1">
      <alignment horizontal="left" vertical="center"/>
    </xf>
    <xf numFmtId="0" fontId="88" fillId="12" borderId="0" xfId="0" applyFont="1" applyFill="1" applyAlignment="1">
      <alignment horizontal="left" vertical="center"/>
    </xf>
    <xf numFmtId="0" fontId="29" fillId="0" borderId="0" xfId="3" applyFont="1" applyAlignment="1">
      <alignment horizontal="left" wrapText="1"/>
    </xf>
    <xf numFmtId="0" fontId="29" fillId="0" borderId="0" xfId="3" applyFont="1" applyAlignment="1">
      <alignment horizontal="left" vertical="center"/>
    </xf>
    <xf numFmtId="49" fontId="77" fillId="2" borderId="0" xfId="3" applyNumberFormat="1" applyFont="1" applyFill="1" applyAlignment="1">
      <alignment horizontal="center" vertical="center"/>
    </xf>
    <xf numFmtId="0" fontId="51" fillId="2" borderId="10" xfId="3" applyFont="1" applyFill="1" applyBorder="1" applyAlignment="1">
      <alignment horizontal="center" vertical="center"/>
    </xf>
    <xf numFmtId="0" fontId="51" fillId="2" borderId="18" xfId="3" applyFont="1" applyFill="1" applyBorder="1" applyAlignment="1">
      <alignment horizontal="center" vertical="center"/>
    </xf>
    <xf numFmtId="0" fontId="38" fillId="0" borderId="0" xfId="3" applyFont="1" applyAlignment="1">
      <alignment horizontal="center" vertical="center"/>
    </xf>
    <xf numFmtId="49" fontId="51" fillId="0" borderId="18" xfId="3" applyNumberFormat="1" applyFont="1" applyBorder="1" applyAlignment="1">
      <alignment horizontal="left" vertical="center"/>
    </xf>
    <xf numFmtId="0" fontId="51" fillId="0" borderId="18" xfId="3" applyFont="1" applyBorder="1" applyAlignment="1">
      <alignment horizontal="left" vertical="center"/>
    </xf>
    <xf numFmtId="0" fontId="51" fillId="0" borderId="10" xfId="3" applyFont="1" applyBorder="1" applyAlignment="1">
      <alignment horizontal="left" vertical="center"/>
    </xf>
    <xf numFmtId="0" fontId="29" fillId="0" borderId="0" xfId="3" applyFont="1" applyAlignment="1">
      <alignment horizontal="right" vertical="center"/>
    </xf>
    <xf numFmtId="0" fontId="35" fillId="0" borderId="0" xfId="3" applyFont="1" applyAlignment="1">
      <alignment horizontal="left"/>
    </xf>
    <xf numFmtId="0" fontId="23" fillId="0" borderId="0" xfId="0" applyFont="1" applyAlignment="1">
      <alignment horizontal="left"/>
    </xf>
    <xf numFmtId="0" fontId="64" fillId="0" borderId="0" xfId="0" applyFont="1" applyAlignment="1">
      <alignment horizontal="left" vertical="center"/>
    </xf>
    <xf numFmtId="0" fontId="38" fillId="0" borderId="0" xfId="3" applyFont="1" applyAlignment="1">
      <alignment horizontal="left"/>
    </xf>
    <xf numFmtId="0" fontId="89" fillId="0" borderId="0" xfId="3" applyFont="1" applyAlignment="1">
      <alignment horizontal="left" vertical="center"/>
    </xf>
    <xf numFmtId="0" fontId="29" fillId="0" borderId="0" xfId="3" applyFont="1" applyAlignment="1">
      <alignment horizontal="left"/>
    </xf>
    <xf numFmtId="0" fontId="1" fillId="0" borderId="0" xfId="0" applyFont="1" applyAlignment="1">
      <alignment horizontal="left"/>
    </xf>
    <xf numFmtId="0" fontId="51" fillId="0" borderId="0" xfId="3" applyFont="1" applyAlignment="1" applyProtection="1">
      <alignment horizontal="left"/>
      <protection locked="0"/>
    </xf>
    <xf numFmtId="0" fontId="0" fillId="0" borderId="0" xfId="0" applyAlignment="1">
      <alignment horizontal="center"/>
    </xf>
    <xf numFmtId="0" fontId="27" fillId="11" borderId="0" xfId="3" applyFont="1" applyFill="1" applyAlignment="1">
      <alignment horizontal="center" vertical="center"/>
    </xf>
    <xf numFmtId="0" fontId="70" fillId="0" borderId="0" xfId="3" applyFont="1" applyAlignment="1">
      <alignment horizontal="center" vertical="center"/>
    </xf>
    <xf numFmtId="0" fontId="72" fillId="0" borderId="0" xfId="0" applyFont="1" applyAlignment="1">
      <alignment horizontal="left" vertical="top" wrapText="1" readingOrder="1"/>
    </xf>
    <xf numFmtId="173" fontId="51" fillId="2" borderId="10" xfId="3" applyNumberFormat="1" applyFont="1" applyFill="1" applyBorder="1" applyAlignment="1" applyProtection="1">
      <alignment horizontal="center"/>
      <protection locked="0"/>
    </xf>
    <xf numFmtId="0" fontId="73" fillId="0" borderId="0" xfId="0" applyFont="1" applyAlignment="1">
      <alignment vertical="center" wrapText="1" readingOrder="1"/>
    </xf>
    <xf numFmtId="0" fontId="0" fillId="0" borderId="0" xfId="0" applyAlignment="1">
      <alignment horizontal="left" vertical="center"/>
    </xf>
    <xf numFmtId="172" fontId="51" fillId="2" borderId="0" xfId="3" applyNumberFormat="1" applyFont="1" applyFill="1" applyAlignment="1">
      <alignment horizontal="center" vertical="center"/>
    </xf>
    <xf numFmtId="0" fontId="29" fillId="0" borderId="0" xfId="3" applyFont="1"/>
    <xf numFmtId="0" fontId="0" fillId="0" borderId="0" xfId="0"/>
    <xf numFmtId="14" fontId="29" fillId="10" borderId="13" xfId="3" applyNumberFormat="1" applyFont="1" applyFill="1" applyBorder="1" applyAlignment="1" applyProtection="1">
      <alignment horizontal="center"/>
      <protection locked="0"/>
    </xf>
    <xf numFmtId="14" fontId="29" fillId="10" borderId="5" xfId="3" applyNumberFormat="1" applyFont="1" applyFill="1" applyBorder="1" applyAlignment="1" applyProtection="1">
      <alignment horizontal="center"/>
      <protection locked="0"/>
    </xf>
    <xf numFmtId="49" fontId="29" fillId="10" borderId="13" xfId="3" applyNumberFormat="1" applyFont="1" applyFill="1" applyBorder="1" applyAlignment="1" applyProtection="1">
      <alignment horizontal="center"/>
      <protection locked="0"/>
    </xf>
    <xf numFmtId="49" fontId="29" fillId="10" borderId="5" xfId="3" applyNumberFormat="1" applyFont="1" applyFill="1" applyBorder="1" applyAlignment="1" applyProtection="1">
      <alignment horizontal="center"/>
      <protection locked="0"/>
    </xf>
    <xf numFmtId="1" fontId="29" fillId="0" borderId="1" xfId="3" applyNumberFormat="1" applyFont="1" applyBorder="1" applyAlignment="1" applyProtection="1">
      <alignment horizontal="center"/>
      <protection locked="0"/>
    </xf>
    <xf numFmtId="0" fontId="29" fillId="0" borderId="1" xfId="3" applyFont="1" applyBorder="1" applyAlignment="1" applyProtection="1">
      <alignment horizontal="center"/>
      <protection locked="0"/>
    </xf>
    <xf numFmtId="0" fontId="29" fillId="10" borderId="1" xfId="3" applyFont="1" applyFill="1" applyBorder="1" applyAlignment="1" applyProtection="1">
      <alignment horizontal="center"/>
      <protection locked="0"/>
    </xf>
    <xf numFmtId="49" fontId="29" fillId="10" borderId="1" xfId="3" applyNumberFormat="1" applyFont="1" applyFill="1" applyBorder="1" applyAlignment="1" applyProtection="1">
      <alignment horizontal="center"/>
      <protection locked="0"/>
    </xf>
    <xf numFmtId="1" fontId="29" fillId="10" borderId="13" xfId="3" applyNumberFormat="1" applyFont="1" applyFill="1" applyBorder="1" applyAlignment="1" applyProtection="1">
      <alignment horizontal="center" vertical="center"/>
      <protection locked="0"/>
    </xf>
    <xf numFmtId="0" fontId="0" fillId="10" borderId="5" xfId="0" applyFill="1" applyBorder="1" applyAlignment="1">
      <alignment horizontal="center" vertical="center"/>
    </xf>
    <xf numFmtId="0" fontId="38" fillId="0" borderId="13" xfId="3" applyFont="1" applyBorder="1" applyAlignment="1">
      <alignment horizontal="center" vertical="center"/>
    </xf>
    <xf numFmtId="0" fontId="0" fillId="0" borderId="5" xfId="0" applyBorder="1" applyAlignment="1">
      <alignment horizontal="center" vertical="center"/>
    </xf>
    <xf numFmtId="0" fontId="27" fillId="0" borderId="13" xfId="0" applyFont="1" applyBorder="1" applyAlignment="1">
      <alignment horizontal="center" vertical="center"/>
    </xf>
    <xf numFmtId="0" fontId="27" fillId="0" borderId="6" xfId="0" applyFont="1" applyBorder="1" applyAlignment="1">
      <alignment horizontal="center" wrapText="1"/>
    </xf>
    <xf numFmtId="0" fontId="27" fillId="0" borderId="7" xfId="0" applyFont="1" applyBorder="1" applyAlignment="1">
      <alignment horizontal="center" wrapText="1"/>
    </xf>
    <xf numFmtId="0" fontId="27" fillId="0" borderId="8" xfId="0" applyFont="1" applyBorder="1" applyAlignment="1">
      <alignment horizontal="center" wrapText="1"/>
    </xf>
    <xf numFmtId="0" fontId="27" fillId="0" borderId="12" xfId="0" applyFont="1" applyBorder="1" applyAlignment="1">
      <alignment horizontal="center" wrapText="1"/>
    </xf>
    <xf numFmtId="0" fontId="27" fillId="0" borderId="0" xfId="0" applyFont="1" applyAlignment="1">
      <alignment horizontal="center" wrapText="1"/>
    </xf>
    <xf numFmtId="0" fontId="27" fillId="0" borderId="16" xfId="0" applyFont="1" applyBorder="1" applyAlignment="1">
      <alignment horizontal="center" wrapText="1"/>
    </xf>
    <xf numFmtId="0" fontId="27" fillId="0" borderId="9" xfId="0" applyFont="1" applyBorder="1" applyAlignment="1">
      <alignment horizontal="center" wrapText="1"/>
    </xf>
    <xf numFmtId="0" fontId="27" fillId="0" borderId="10" xfId="0" applyFont="1" applyBorder="1" applyAlignment="1">
      <alignment horizontal="center" wrapText="1"/>
    </xf>
    <xf numFmtId="0" fontId="27" fillId="0" borderId="11" xfId="0" applyFont="1" applyBorder="1" applyAlignment="1">
      <alignment horizontal="center" wrapText="1"/>
    </xf>
    <xf numFmtId="0" fontId="31" fillId="0" borderId="0" xfId="0" applyFont="1" applyAlignment="1">
      <alignment horizontal="left" vertical="top" wrapText="1"/>
    </xf>
    <xf numFmtId="0" fontId="63" fillId="0" borderId="0" xfId="0" applyFont="1" applyAlignment="1">
      <alignment horizontal="left"/>
    </xf>
    <xf numFmtId="0" fontId="38" fillId="10" borderId="10" xfId="0" applyFont="1" applyFill="1" applyBorder="1" applyAlignment="1" applyProtection="1">
      <alignment horizontal="center"/>
      <protection locked="0"/>
    </xf>
    <xf numFmtId="0" fontId="59" fillId="0" borderId="0" xfId="0" applyFont="1" applyAlignment="1">
      <alignment horizontal="left"/>
    </xf>
    <xf numFmtId="0" fontId="66" fillId="0" borderId="0" xfId="0" applyFont="1" applyAlignment="1">
      <alignment horizontal="left"/>
    </xf>
    <xf numFmtId="0" fontId="27" fillId="0" borderId="0" xfId="0" applyFont="1" applyAlignment="1">
      <alignment horizontal="right"/>
    </xf>
    <xf numFmtId="0" fontId="38" fillId="0" borderId="0" xfId="0" applyFont="1" applyAlignment="1">
      <alignment horizontal="left"/>
    </xf>
    <xf numFmtId="0" fontId="27" fillId="0" borderId="0" xfId="0" applyFont="1" applyAlignment="1">
      <alignment horizontal="left"/>
    </xf>
    <xf numFmtId="0" fontId="0" fillId="0" borderId="0" xfId="0" applyAlignment="1">
      <alignment horizontal="right"/>
    </xf>
    <xf numFmtId="0" fontId="63" fillId="0" borderId="0" xfId="0" applyFont="1"/>
    <xf numFmtId="0" fontId="81" fillId="0" borderId="0" xfId="0" applyFont="1"/>
    <xf numFmtId="0" fontId="66" fillId="0" borderId="0" xfId="0" applyFont="1" applyAlignment="1">
      <alignment horizontal="left" vertical="center"/>
    </xf>
    <xf numFmtId="14" fontId="27" fillId="0" borderId="0" xfId="0" applyNumberFormat="1" applyFont="1" applyAlignment="1">
      <alignment horizontal="left"/>
    </xf>
    <xf numFmtId="0" fontId="30" fillId="10" borderId="9" xfId="0" applyFont="1" applyFill="1" applyBorder="1" applyAlignment="1" applyProtection="1">
      <alignment horizontal="center"/>
      <protection locked="0"/>
    </xf>
    <xf numFmtId="0" fontId="30" fillId="10" borderId="10" xfId="0" applyFont="1" applyFill="1" applyBorder="1" applyAlignment="1" applyProtection="1">
      <alignment horizontal="center"/>
      <protection locked="0"/>
    </xf>
    <xf numFmtId="0" fontId="27" fillId="0" borderId="0" xfId="0" applyFont="1" applyAlignment="1">
      <alignment horizontal="center"/>
    </xf>
    <xf numFmtId="44" fontId="27" fillId="0" borderId="0" xfId="1" applyFont="1" applyAlignment="1">
      <alignment horizontal="center"/>
    </xf>
    <xf numFmtId="0" fontId="66" fillId="0" borderId="0" xfId="0" applyFont="1" applyAlignment="1">
      <alignment horizontal="right" indent="1"/>
    </xf>
    <xf numFmtId="0" fontId="66" fillId="0" borderId="37" xfId="0" applyFont="1" applyBorder="1" applyAlignment="1">
      <alignment horizontal="right" indent="1"/>
    </xf>
    <xf numFmtId="0" fontId="24" fillId="10" borderId="10" xfId="0" applyFont="1" applyFill="1" applyBorder="1" applyAlignment="1" applyProtection="1">
      <alignment horizontal="center"/>
      <protection locked="0"/>
    </xf>
    <xf numFmtId="49" fontId="42" fillId="0" borderId="0" xfId="6" applyFont="1" applyAlignment="1">
      <alignment horizontal="left"/>
    </xf>
    <xf numFmtId="0" fontId="0" fillId="0" borderId="0" xfId="0" applyAlignment="1">
      <alignment horizontal="left"/>
    </xf>
    <xf numFmtId="0" fontId="27" fillId="0" borderId="10" xfId="0" applyFont="1" applyBorder="1" applyAlignment="1">
      <alignment horizontal="center"/>
    </xf>
    <xf numFmtId="44" fontId="27" fillId="10" borderId="18" xfId="1" applyFont="1" applyFill="1" applyBorder="1" applyAlignment="1" applyProtection="1">
      <alignment horizontal="center"/>
      <protection locked="0"/>
    </xf>
    <xf numFmtId="165" fontId="27" fillId="10" borderId="0" xfId="0" applyNumberFormat="1" applyFont="1" applyFill="1" applyProtection="1">
      <protection locked="0"/>
    </xf>
    <xf numFmtId="0" fontId="0" fillId="11" borderId="0" xfId="0" applyFill="1"/>
    <xf numFmtId="0" fontId="0" fillId="10" borderId="0" xfId="0" applyFill="1"/>
    <xf numFmtId="49" fontId="38" fillId="0" borderId="0" xfId="3" applyNumberFormat="1" applyFont="1"/>
    <xf numFmtId="14" fontId="24" fillId="10" borderId="10" xfId="0" applyNumberFormat="1" applyFont="1" applyFill="1" applyBorder="1" applyAlignment="1" applyProtection="1">
      <alignment horizontal="center"/>
      <protection locked="0"/>
    </xf>
    <xf numFmtId="0" fontId="42" fillId="0" borderId="0" xfId="6" applyNumberFormat="1" applyFont="1" applyAlignment="1">
      <alignment horizontal="center"/>
    </xf>
    <xf numFmtId="0" fontId="1" fillId="0" borderId="0" xfId="0" applyFont="1" applyAlignment="1">
      <alignment horizontal="center"/>
    </xf>
    <xf numFmtId="0" fontId="30" fillId="0" borderId="0" xfId="0" applyFont="1" applyAlignment="1">
      <alignment horizontal="center"/>
    </xf>
    <xf numFmtId="49" fontId="42" fillId="0" borderId="0" xfId="6" applyFont="1"/>
    <xf numFmtId="49" fontId="38" fillId="0" borderId="13" xfId="3" applyNumberFormat="1" applyFont="1" applyBorder="1" applyAlignment="1">
      <alignment horizontal="center" vertical="center"/>
    </xf>
    <xf numFmtId="0" fontId="38" fillId="0" borderId="34" xfId="3" applyFont="1" applyBorder="1" applyAlignment="1">
      <alignment horizontal="center"/>
    </xf>
    <xf numFmtId="0" fontId="0" fillId="0" borderId="35" xfId="0" applyBorder="1"/>
    <xf numFmtId="0" fontId="66" fillId="0" borderId="41" xfId="0" applyFont="1" applyBorder="1" applyAlignment="1" applyProtection="1">
      <alignment horizontal="center"/>
      <protection locked="0"/>
    </xf>
    <xf numFmtId="0" fontId="66" fillId="0" borderId="15" xfId="0" applyFont="1" applyBorder="1" applyAlignment="1" applyProtection="1">
      <alignment horizontal="center"/>
      <protection locked="0"/>
    </xf>
    <xf numFmtId="49" fontId="27" fillId="0" borderId="0" xfId="0" quotePrefix="1" applyNumberFormat="1" applyFont="1" applyAlignment="1">
      <alignment horizontal="left"/>
    </xf>
    <xf numFmtId="1" fontId="42" fillId="0" borderId="0" xfId="6" applyNumberFormat="1" applyFont="1" applyAlignment="1">
      <alignment horizontal="left" indent="1"/>
    </xf>
    <xf numFmtId="49" fontId="42" fillId="0" borderId="0" xfId="6" applyFont="1" applyAlignment="1">
      <alignment horizontal="left" indent="1"/>
    </xf>
    <xf numFmtId="49" fontId="42" fillId="0" borderId="0" xfId="3" applyNumberFormat="1" applyFont="1" applyAlignment="1">
      <alignment horizontal="left" indent="1"/>
    </xf>
    <xf numFmtId="0" fontId="23" fillId="0" borderId="0" xfId="0" applyFont="1" applyAlignment="1">
      <alignment horizontal="left" indent="1"/>
    </xf>
    <xf numFmtId="0" fontId="1" fillId="0" borderId="0" xfId="0" applyFont="1"/>
    <xf numFmtId="9" fontId="1" fillId="0" borderId="46" xfId="0" applyNumberFormat="1" applyFont="1" applyBorder="1" applyAlignment="1">
      <alignment horizontal="center" vertical="center"/>
    </xf>
    <xf numFmtId="9" fontId="1" fillId="0" borderId="59" xfId="0" applyNumberFormat="1" applyFont="1" applyBorder="1" applyAlignment="1">
      <alignment horizontal="center" vertical="center"/>
    </xf>
    <xf numFmtId="1" fontId="1" fillId="5" borderId="53" xfId="0" applyNumberFormat="1" applyFont="1" applyFill="1" applyBorder="1" applyAlignment="1" applyProtection="1">
      <alignment horizontal="center" vertical="center"/>
      <protection locked="0"/>
    </xf>
    <xf numFmtId="1" fontId="1" fillId="5" borderId="58" xfId="0" applyNumberFormat="1" applyFont="1" applyFill="1" applyBorder="1" applyAlignment="1" applyProtection="1">
      <alignment horizontal="center" vertical="center"/>
      <protection locked="0"/>
    </xf>
    <xf numFmtId="0" fontId="6" fillId="0" borderId="29" xfId="0" applyFont="1" applyBorder="1" applyAlignment="1">
      <alignment horizontal="left" vertical="center" wrapText="1"/>
    </xf>
    <xf numFmtId="0" fontId="6" fillId="0" borderId="32" xfId="0" applyFont="1" applyBorder="1" applyAlignment="1">
      <alignment horizontal="left" vertical="center" wrapText="1"/>
    </xf>
    <xf numFmtId="0" fontId="23" fillId="0" borderId="0" xfId="0" applyFont="1" applyAlignment="1">
      <alignment horizontal="center"/>
    </xf>
    <xf numFmtId="0" fontId="66" fillId="0" borderId="44" xfId="0" applyFont="1" applyBorder="1" applyAlignment="1" applyProtection="1">
      <alignment horizontal="center" wrapText="1"/>
      <protection locked="0"/>
    </xf>
    <xf numFmtId="0" fontId="66" fillId="0" borderId="49" xfId="0" applyFont="1" applyBorder="1" applyAlignment="1" applyProtection="1">
      <alignment horizontal="center" wrapText="1"/>
      <protection locked="0"/>
    </xf>
    <xf numFmtId="0" fontId="25" fillId="0" borderId="60" xfId="0" applyFont="1" applyBorder="1" applyAlignment="1">
      <alignment horizontal="center" wrapText="1"/>
    </xf>
    <xf numFmtId="0" fontId="25" fillId="0" borderId="31" xfId="0" applyFont="1" applyBorder="1" applyAlignment="1">
      <alignment horizontal="center" wrapText="1"/>
    </xf>
    <xf numFmtId="9" fontId="29" fillId="0" borderId="48" xfId="3" applyNumberFormat="1" applyFont="1" applyBorder="1" applyAlignment="1">
      <alignment horizontal="center" vertical="center"/>
    </xf>
    <xf numFmtId="0" fontId="29" fillId="0" borderId="12" xfId="3" applyFont="1" applyBorder="1" applyAlignment="1">
      <alignment horizontal="center" vertical="center"/>
    </xf>
    <xf numFmtId="0" fontId="29" fillId="0" borderId="41" xfId="3" applyFont="1" applyBorder="1" applyAlignment="1">
      <alignment horizontal="center" vertical="center"/>
    </xf>
    <xf numFmtId="9" fontId="1" fillId="0" borderId="48" xfId="0" applyNumberFormat="1" applyFont="1" applyBorder="1" applyAlignment="1">
      <alignment horizontal="center" vertical="center"/>
    </xf>
    <xf numFmtId="0" fontId="1" fillId="0" borderId="12" xfId="0" applyFont="1" applyBorder="1" applyAlignment="1">
      <alignment horizontal="center" vertical="center"/>
    </xf>
    <xf numFmtId="0" fontId="1" fillId="0" borderId="41" xfId="0" applyFont="1" applyBorder="1" applyAlignment="1">
      <alignment horizontal="center" vertical="center"/>
    </xf>
    <xf numFmtId="0" fontId="1" fillId="0" borderId="14" xfId="0" applyFont="1" applyBorder="1" applyAlignment="1">
      <alignment horizontal="center" vertical="center"/>
    </xf>
    <xf numFmtId="0" fontId="1" fillId="0" borderId="59" xfId="0" applyFont="1" applyBorder="1" applyAlignment="1">
      <alignment horizontal="center" vertical="center"/>
    </xf>
    <xf numFmtId="1" fontId="29" fillId="5" borderId="53" xfId="3" applyNumberFormat="1" applyFont="1" applyFill="1" applyBorder="1" applyAlignment="1" applyProtection="1">
      <alignment horizontal="center" vertical="center"/>
      <protection locked="0"/>
    </xf>
    <xf numFmtId="1" fontId="29" fillId="5" borderId="55" xfId="3" applyNumberFormat="1" applyFont="1" applyFill="1" applyBorder="1" applyAlignment="1" applyProtection="1">
      <alignment horizontal="center" vertical="center"/>
      <protection locked="0"/>
    </xf>
    <xf numFmtId="1" fontId="29" fillId="5" borderId="58" xfId="3" applyNumberFormat="1" applyFont="1" applyFill="1" applyBorder="1" applyAlignment="1" applyProtection="1">
      <alignment horizontal="center" vertical="center"/>
      <protection locked="0"/>
    </xf>
    <xf numFmtId="1" fontId="1" fillId="5" borderId="55" xfId="0" applyNumberFormat="1" applyFont="1" applyFill="1" applyBorder="1" applyAlignment="1" applyProtection="1">
      <alignment horizontal="center" vertical="center"/>
      <protection locked="0"/>
    </xf>
    <xf numFmtId="0" fontId="0" fillId="0" borderId="52" xfId="0" applyBorder="1" applyAlignment="1">
      <alignment horizontal="center" vertical="center"/>
    </xf>
    <xf numFmtId="0" fontId="0" fillId="0" borderId="54" xfId="0" applyBorder="1" applyAlignment="1">
      <alignment horizontal="center" vertical="center"/>
    </xf>
    <xf numFmtId="0" fontId="0" fillId="0" borderId="56" xfId="0" applyBorder="1" applyAlignment="1">
      <alignment horizontal="center" vertical="center"/>
    </xf>
    <xf numFmtId="0" fontId="23" fillId="0" borderId="30" xfId="0" applyFont="1" applyBorder="1" applyAlignment="1">
      <alignment horizontal="center"/>
    </xf>
    <xf numFmtId="0" fontId="23" fillId="0" borderId="50" xfId="0" applyFont="1" applyBorder="1" applyAlignment="1">
      <alignment horizontal="center"/>
    </xf>
    <xf numFmtId="0" fontId="23" fillId="0" borderId="51" xfId="0" applyFont="1" applyBorder="1" applyAlignment="1">
      <alignment horizontal="center"/>
    </xf>
    <xf numFmtId="9" fontId="1" fillId="0" borderId="14" xfId="0" applyNumberFormat="1" applyFont="1" applyBorder="1" applyAlignment="1">
      <alignment horizontal="center" vertical="center"/>
    </xf>
    <xf numFmtId="9" fontId="23" fillId="0" borderId="16" xfId="0" applyNumberFormat="1" applyFont="1" applyBorder="1" applyAlignment="1">
      <alignment horizontal="center" vertical="center"/>
    </xf>
    <xf numFmtId="9" fontId="23" fillId="0" borderId="42" xfId="0" applyNumberFormat="1" applyFont="1" applyBorder="1" applyAlignment="1">
      <alignment horizontal="center" vertical="center"/>
    </xf>
    <xf numFmtId="1" fontId="23" fillId="5" borderId="55" xfId="0" applyNumberFormat="1" applyFont="1" applyFill="1" applyBorder="1" applyAlignment="1" applyProtection="1">
      <alignment horizontal="center" vertical="center"/>
      <protection locked="0"/>
    </xf>
    <xf numFmtId="1" fontId="23" fillId="5" borderId="58" xfId="0" applyNumberFormat="1" applyFont="1" applyFill="1" applyBorder="1" applyAlignment="1" applyProtection="1">
      <alignment horizontal="center" vertical="center"/>
      <protection locked="0"/>
    </xf>
    <xf numFmtId="9" fontId="23" fillId="0" borderId="46" xfId="0" applyNumberFormat="1" applyFont="1" applyBorder="1" applyAlignment="1">
      <alignment horizontal="center" vertical="center"/>
    </xf>
    <xf numFmtId="9" fontId="23" fillId="0" borderId="14" xfId="0" applyNumberFormat="1" applyFont="1" applyBorder="1" applyAlignment="1">
      <alignment horizontal="center" vertical="center"/>
    </xf>
    <xf numFmtId="9" fontId="23" fillId="0" borderId="59" xfId="0" applyNumberFormat="1" applyFont="1" applyBorder="1" applyAlignment="1">
      <alignment horizontal="center" vertical="center"/>
    </xf>
    <xf numFmtId="1" fontId="23" fillId="5" borderId="53" xfId="0" applyNumberFormat="1" applyFont="1" applyFill="1" applyBorder="1" applyAlignment="1" applyProtection="1">
      <alignment horizontal="center" vertical="center"/>
      <protection locked="0"/>
    </xf>
    <xf numFmtId="0" fontId="66" fillId="0" borderId="43" xfId="0" applyFont="1" applyBorder="1" applyAlignment="1">
      <alignment horizontal="center" wrapText="1"/>
    </xf>
    <xf numFmtId="0" fontId="66" fillId="0" borderId="45" xfId="0" applyFont="1" applyBorder="1" applyAlignment="1">
      <alignment horizontal="center" wrapText="1"/>
    </xf>
    <xf numFmtId="1" fontId="23" fillId="0" borderId="28" xfId="0" applyNumberFormat="1" applyFont="1" applyBorder="1" applyAlignment="1" applyProtection="1">
      <alignment horizontal="left"/>
      <protection locked="0"/>
    </xf>
    <xf numFmtId="1" fontId="23" fillId="0" borderId="76" xfId="0" applyNumberFormat="1" applyFont="1" applyBorder="1" applyAlignment="1" applyProtection="1">
      <alignment horizontal="left"/>
      <protection locked="0"/>
    </xf>
    <xf numFmtId="0" fontId="42" fillId="0" borderId="75" xfId="0" applyFont="1" applyBorder="1" applyAlignment="1">
      <alignment horizontal="left"/>
    </xf>
    <xf numFmtId="0" fontId="42" fillId="0" borderId="28" xfId="0" applyFont="1" applyBorder="1" applyAlignment="1">
      <alignment horizontal="left"/>
    </xf>
    <xf numFmtId="0" fontId="23" fillId="0" borderId="42" xfId="0" applyFont="1" applyBorder="1" applyAlignment="1" applyProtection="1">
      <alignment horizontal="left"/>
      <protection locked="0"/>
    </xf>
    <xf numFmtId="0" fontId="23" fillId="0" borderId="58" xfId="0" applyFont="1" applyBorder="1" applyAlignment="1" applyProtection="1">
      <alignment horizontal="left"/>
      <protection locked="0"/>
    </xf>
    <xf numFmtId="0" fontId="0" fillId="0" borderId="14" xfId="0" applyBorder="1" applyAlignment="1">
      <alignment horizontal="center" vertical="center"/>
    </xf>
    <xf numFmtId="49" fontId="29" fillId="0" borderId="1" xfId="6" applyFont="1" applyBorder="1" applyAlignment="1">
      <alignment horizontal="left" vertical="center"/>
    </xf>
    <xf numFmtId="14" fontId="29" fillId="0" borderId="0" xfId="6" applyNumberFormat="1" applyFont="1" applyAlignment="1">
      <alignment horizontal="left"/>
    </xf>
    <xf numFmtId="49" fontId="29" fillId="0" borderId="10" xfId="6" applyFont="1" applyBorder="1" applyAlignment="1">
      <alignment horizontal="center"/>
    </xf>
    <xf numFmtId="0" fontId="1" fillId="0" borderId="10" xfId="0" applyFont="1" applyBorder="1" applyAlignment="1">
      <alignment horizontal="center"/>
    </xf>
    <xf numFmtId="49" fontId="29" fillId="0" borderId="13" xfId="6" applyFont="1" applyBorder="1" applyAlignment="1">
      <alignment horizontal="left" vertical="center"/>
    </xf>
    <xf numFmtId="49" fontId="29" fillId="0" borderId="18" xfId="6" applyFont="1" applyBorder="1" applyAlignment="1">
      <alignment horizontal="left" vertical="center"/>
    </xf>
    <xf numFmtId="49" fontId="29" fillId="0" borderId="5" xfId="6" applyFont="1" applyBorder="1" applyAlignment="1">
      <alignment horizontal="left" vertical="center"/>
    </xf>
    <xf numFmtId="49" fontId="35" fillId="0" borderId="0" xfId="3" applyNumberFormat="1" applyFont="1" applyAlignment="1">
      <alignment horizontal="left" vertical="center"/>
    </xf>
    <xf numFmtId="0" fontId="1" fillId="0" borderId="0" xfId="0" applyFont="1" applyAlignment="1">
      <alignment vertical="center"/>
    </xf>
    <xf numFmtId="0" fontId="42" fillId="0" borderId="0" xfId="6" applyNumberFormat="1" applyFont="1" applyAlignment="1">
      <alignment horizontal="left"/>
    </xf>
    <xf numFmtId="49" fontId="42" fillId="0" borderId="0" xfId="6" applyFont="1" applyAlignment="1">
      <alignment horizontal="center" vertical="center"/>
    </xf>
    <xf numFmtId="49" fontId="35" fillId="0" borderId="43" xfId="6" applyFont="1" applyBorder="1" applyAlignment="1">
      <alignment horizontal="center" vertical="center" wrapText="1"/>
    </xf>
    <xf numFmtId="49" fontId="35" fillId="0" borderId="45" xfId="6" applyFont="1" applyBorder="1" applyAlignment="1">
      <alignment horizontal="center" vertical="center" wrapText="1"/>
    </xf>
    <xf numFmtId="49" fontId="35" fillId="0" borderId="47" xfId="6" applyFont="1" applyBorder="1" applyAlignment="1">
      <alignment horizontal="center" vertical="center" wrapText="1"/>
    </xf>
    <xf numFmtId="49" fontId="35" fillId="0" borderId="57" xfId="6" applyFont="1" applyBorder="1" applyAlignment="1">
      <alignment horizontal="center" vertical="center" wrapText="1"/>
    </xf>
    <xf numFmtId="49" fontId="42" fillId="0" borderId="47" xfId="6" applyFont="1" applyBorder="1" applyAlignment="1">
      <alignment horizontal="center" vertical="center" wrapText="1"/>
    </xf>
    <xf numFmtId="49" fontId="42" fillId="0" borderId="57" xfId="6" applyFont="1" applyBorder="1" applyAlignment="1">
      <alignment horizontal="center" vertical="center" wrapText="1"/>
    </xf>
    <xf numFmtId="169" fontId="42" fillId="0" borderId="47" xfId="3" applyNumberFormat="1" applyFont="1" applyBorder="1" applyAlignment="1">
      <alignment horizontal="center" vertical="center"/>
    </xf>
    <xf numFmtId="169" fontId="42" fillId="0" borderId="44" xfId="3" applyNumberFormat="1" applyFont="1" applyBorder="1" applyAlignment="1">
      <alignment horizontal="center" vertical="center"/>
    </xf>
    <xf numFmtId="49" fontId="42" fillId="0" borderId="75" xfId="6" applyFont="1" applyBorder="1" applyAlignment="1">
      <alignment horizontal="left" wrapText="1"/>
    </xf>
    <xf numFmtId="0" fontId="1" fillId="0" borderId="28" xfId="0" applyFont="1" applyBorder="1" applyAlignment="1">
      <alignment wrapText="1"/>
    </xf>
    <xf numFmtId="0" fontId="1" fillId="0" borderId="76" xfId="0" applyFont="1" applyBorder="1" applyAlignment="1">
      <alignment wrapText="1"/>
    </xf>
    <xf numFmtId="0" fontId="1" fillId="0" borderId="77" xfId="0" applyFont="1" applyBorder="1" applyAlignment="1">
      <alignment wrapText="1"/>
    </xf>
    <xf numFmtId="0" fontId="1" fillId="0" borderId="0" xfId="0" applyFont="1" applyAlignment="1">
      <alignment wrapText="1"/>
    </xf>
    <xf numFmtId="0" fontId="1" fillId="0" borderId="25" xfId="0" applyFont="1" applyBorder="1" applyAlignment="1">
      <alignment wrapText="1"/>
    </xf>
    <xf numFmtId="0" fontId="1" fillId="0" borderId="78" xfId="0" applyFont="1" applyBorder="1" applyAlignment="1">
      <alignment wrapText="1"/>
    </xf>
    <xf numFmtId="0" fontId="1" fillId="0" borderId="15" xfId="0" applyFont="1" applyBorder="1" applyAlignment="1">
      <alignment wrapText="1"/>
    </xf>
    <xf numFmtId="0" fontId="1" fillId="0" borderId="79" xfId="0" applyFont="1" applyBorder="1" applyAlignment="1">
      <alignment wrapText="1"/>
    </xf>
    <xf numFmtId="49" fontId="42" fillId="0" borderId="15" xfId="6" applyFont="1" applyBorder="1" applyAlignment="1">
      <alignment horizontal="left"/>
    </xf>
    <xf numFmtId="0" fontId="1" fillId="0" borderId="15" xfId="0" applyFont="1" applyBorder="1"/>
    <xf numFmtId="49" fontId="42" fillId="0" borderId="28" xfId="6" applyFont="1" applyBorder="1" applyAlignment="1">
      <alignment horizontal="left"/>
    </xf>
    <xf numFmtId="0" fontId="1" fillId="0" borderId="28" xfId="0" applyFont="1" applyBorder="1"/>
    <xf numFmtId="49" fontId="29" fillId="0" borderId="0" xfId="6" applyFont="1" applyAlignment="1">
      <alignment horizontal="right"/>
    </xf>
    <xf numFmtId="44" fontId="36" fillId="0" borderId="0" xfId="6" applyNumberFormat="1" applyFont="1" applyAlignment="1">
      <alignment horizontal="right"/>
    </xf>
    <xf numFmtId="44" fontId="36" fillId="0" borderId="25" xfId="6" applyNumberFormat="1" applyFont="1" applyBorder="1" applyAlignment="1">
      <alignment horizontal="right"/>
    </xf>
    <xf numFmtId="49" fontId="29" fillId="0" borderId="47" xfId="6" applyFont="1" applyBorder="1" applyAlignment="1">
      <alignment horizontal="left" vertical="center"/>
    </xf>
    <xf numFmtId="49" fontId="29" fillId="0" borderId="57" xfId="6" applyFont="1" applyBorder="1" applyAlignment="1">
      <alignment horizontal="left" vertical="center"/>
    </xf>
    <xf numFmtId="0" fontId="42" fillId="0" borderId="0" xfId="6"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9" fillId="0" borderId="1" xfId="3" applyFont="1" applyBorder="1" applyAlignment="1" applyProtection="1">
      <alignment vertical="center"/>
      <protection locked="0"/>
    </xf>
    <xf numFmtId="0" fontId="1" fillId="0" borderId="1" xfId="0" applyFont="1" applyBorder="1" applyAlignment="1">
      <alignment vertical="center"/>
    </xf>
    <xf numFmtId="169" fontId="42" fillId="0" borderId="4" xfId="3" applyNumberFormat="1" applyFont="1" applyBorder="1" applyAlignment="1">
      <alignment horizontal="center"/>
    </xf>
    <xf numFmtId="169" fontId="42" fillId="0" borderId="62" xfId="3" applyNumberFormat="1" applyFont="1" applyBorder="1" applyAlignment="1">
      <alignment horizontal="center"/>
    </xf>
    <xf numFmtId="49" fontId="42" fillId="0" borderId="0" xfId="6" applyFont="1" applyAlignment="1">
      <alignment horizontal="left" vertical="center"/>
    </xf>
    <xf numFmtId="0" fontId="29" fillId="0" borderId="10" xfId="3" applyFont="1" applyBorder="1" applyAlignment="1">
      <alignment horizontal="center"/>
    </xf>
    <xf numFmtId="0" fontId="29" fillId="0" borderId="57" xfId="3" applyFont="1" applyBorder="1" applyAlignment="1" applyProtection="1">
      <alignment vertical="center"/>
      <protection locked="0"/>
    </xf>
    <xf numFmtId="0" fontId="1" fillId="0" borderId="57" xfId="0" applyFont="1" applyBorder="1" applyAlignment="1">
      <alignment vertical="center"/>
    </xf>
    <xf numFmtId="0" fontId="1" fillId="0" borderId="2" xfId="0" applyFont="1" applyBorder="1" applyAlignment="1">
      <alignment vertical="center"/>
    </xf>
    <xf numFmtId="0" fontId="55" fillId="0" borderId="28" xfId="3" applyFont="1" applyBorder="1" applyAlignment="1">
      <alignment horizontal="right"/>
    </xf>
    <xf numFmtId="0" fontId="1" fillId="0" borderId="28" xfId="0" applyFont="1" applyBorder="1" applyAlignment="1">
      <alignment horizontal="right"/>
    </xf>
    <xf numFmtId="0" fontId="1" fillId="0" borderId="76" xfId="0" applyFont="1" applyBorder="1" applyAlignment="1">
      <alignment horizontal="right"/>
    </xf>
    <xf numFmtId="49" fontId="29" fillId="0" borderId="75" xfId="6" applyFont="1" applyBorder="1" applyAlignment="1">
      <alignment horizontal="left" vertical="top" wrapText="1"/>
    </xf>
    <xf numFmtId="49" fontId="29" fillId="0" borderId="28" xfId="6" applyFont="1" applyBorder="1" applyAlignment="1">
      <alignment horizontal="left" vertical="top" wrapText="1"/>
    </xf>
    <xf numFmtId="49" fontId="29" fillId="0" borderId="76" xfId="6" applyFont="1" applyBorder="1" applyAlignment="1">
      <alignment horizontal="left" vertical="top" wrapText="1"/>
    </xf>
    <xf numFmtId="49" fontId="29" fillId="0" borderId="77" xfId="6" applyFont="1" applyBorder="1" applyAlignment="1">
      <alignment horizontal="left" vertical="top" wrapText="1"/>
    </xf>
    <xf numFmtId="49" fontId="29" fillId="0" borderId="0" xfId="6" applyFont="1" applyAlignment="1">
      <alignment horizontal="left" vertical="top" wrapText="1"/>
    </xf>
    <xf numFmtId="49" fontId="29" fillId="0" borderId="25" xfId="6" applyFont="1" applyBorder="1" applyAlignment="1">
      <alignment horizontal="left" vertical="top" wrapText="1"/>
    </xf>
    <xf numFmtId="49" fontId="29" fillId="0" borderId="78" xfId="6" applyFont="1" applyBorder="1" applyAlignment="1">
      <alignment horizontal="left" vertical="top" wrapText="1"/>
    </xf>
    <xf numFmtId="49" fontId="29" fillId="0" borderId="15" xfId="6" applyFont="1" applyBorder="1" applyAlignment="1">
      <alignment horizontal="left" vertical="top" wrapText="1"/>
    </xf>
    <xf numFmtId="49" fontId="29" fillId="0" borderId="79" xfId="6" applyFont="1" applyBorder="1" applyAlignment="1">
      <alignment horizontal="left" vertical="top" wrapText="1"/>
    </xf>
    <xf numFmtId="0" fontId="29" fillId="0" borderId="4" xfId="3" applyFont="1" applyBorder="1" applyAlignment="1" applyProtection="1">
      <alignment vertical="center"/>
      <protection locked="0"/>
    </xf>
    <xf numFmtId="0" fontId="1" fillId="0" borderId="4" xfId="0" applyFont="1" applyBorder="1" applyAlignment="1">
      <alignment vertical="center"/>
    </xf>
    <xf numFmtId="0" fontId="35" fillId="0" borderId="61" xfId="3" applyFont="1" applyBorder="1" applyAlignment="1">
      <alignment horizontal="center" vertical="center" wrapText="1"/>
    </xf>
    <xf numFmtId="0" fontId="66" fillId="0" borderId="45" xfId="0" applyFont="1" applyBorder="1" applyAlignment="1">
      <alignment horizontal="center" vertical="center" wrapText="1"/>
    </xf>
    <xf numFmtId="0" fontId="35" fillId="0" borderId="4" xfId="3" applyFont="1" applyBorder="1" applyAlignment="1">
      <alignment horizontal="center" vertical="center" wrapText="1"/>
    </xf>
    <xf numFmtId="0" fontId="66" fillId="0" borderId="57" xfId="0" applyFont="1" applyBorder="1" applyAlignment="1">
      <alignment horizontal="center" vertical="center" wrapText="1"/>
    </xf>
    <xf numFmtId="0" fontId="42" fillId="0" borderId="4" xfId="3" applyFont="1" applyBorder="1" applyAlignment="1">
      <alignment horizontal="center" vertical="center"/>
    </xf>
    <xf numFmtId="0" fontId="1" fillId="0" borderId="4" xfId="0" applyFont="1" applyBorder="1" applyAlignment="1">
      <alignment horizontal="center" vertical="center"/>
    </xf>
    <xf numFmtId="0" fontId="1" fillId="0" borderId="57" xfId="0" applyFont="1" applyBorder="1" applyAlignment="1">
      <alignment horizontal="center" vertical="center"/>
    </xf>
    <xf numFmtId="49" fontId="29" fillId="0" borderId="50" xfId="6" applyFont="1" applyBorder="1" applyAlignment="1">
      <alignment horizontal="left" vertical="top"/>
    </xf>
    <xf numFmtId="0" fontId="0" fillId="0" borderId="50" xfId="0" applyBorder="1" applyAlignment="1">
      <alignment horizontal="left" vertical="top"/>
    </xf>
    <xf numFmtId="0" fontId="29" fillId="0" borderId="1" xfId="3" applyFont="1" applyBorder="1" applyAlignment="1" applyProtection="1">
      <alignment horizontal="left" vertical="center"/>
      <protection locked="0"/>
    </xf>
    <xf numFmtId="0" fontId="29" fillId="0" borderId="47" xfId="3" applyFont="1" applyBorder="1" applyAlignment="1" applyProtection="1">
      <alignment horizontal="left" vertical="center"/>
      <protection locked="0"/>
    </xf>
    <xf numFmtId="0" fontId="36" fillId="0" borderId="54" xfId="3" applyFont="1" applyBorder="1" applyAlignment="1">
      <alignment horizontal="right" vertical="center" indent="1"/>
    </xf>
    <xf numFmtId="0" fontId="64" fillId="0" borderId="14" xfId="0" applyFont="1" applyBorder="1" applyAlignment="1">
      <alignment horizontal="right" vertical="center" indent="1"/>
    </xf>
    <xf numFmtId="49" fontId="35" fillId="0" borderId="0" xfId="3" applyNumberFormat="1" applyFont="1" applyAlignment="1">
      <alignment horizontal="left"/>
    </xf>
    <xf numFmtId="0" fontId="35" fillId="0" borderId="43" xfId="3" applyFont="1" applyBorder="1" applyAlignment="1">
      <alignment horizontal="center" vertical="center" wrapText="1"/>
    </xf>
    <xf numFmtId="0" fontId="27" fillId="0" borderId="45" xfId="0" applyFont="1" applyBorder="1" applyAlignment="1">
      <alignment horizontal="center" vertical="center" wrapText="1"/>
    </xf>
    <xf numFmtId="0" fontId="35" fillId="0" borderId="47" xfId="3" applyFont="1" applyBorder="1" applyAlignment="1">
      <alignment horizontal="center" vertical="center" wrapText="1"/>
    </xf>
    <xf numFmtId="0" fontId="27" fillId="0" borderId="57" xfId="0" applyFont="1" applyBorder="1" applyAlignment="1">
      <alignment horizontal="center" vertical="center" wrapText="1"/>
    </xf>
    <xf numFmtId="0" fontId="42" fillId="0" borderId="47" xfId="3" applyFont="1" applyBorder="1" applyAlignment="1">
      <alignment horizontal="center" vertical="center"/>
    </xf>
    <xf numFmtId="0" fontId="1" fillId="0" borderId="47" xfId="0" applyFont="1" applyBorder="1" applyAlignment="1">
      <alignment horizontal="center" vertical="center"/>
    </xf>
    <xf numFmtId="0" fontId="29" fillId="0" borderId="57" xfId="3" applyFont="1" applyBorder="1" applyAlignment="1" applyProtection="1">
      <alignment horizontal="left" vertical="center"/>
      <protection locked="0"/>
    </xf>
    <xf numFmtId="44" fontId="36" fillId="0" borderId="0" xfId="3" applyNumberFormat="1" applyFont="1" applyAlignment="1">
      <alignment horizontal="right" vertical="center"/>
    </xf>
    <xf numFmtId="44" fontId="36" fillId="0" borderId="25" xfId="3" applyNumberFormat="1" applyFont="1" applyBorder="1" applyAlignment="1">
      <alignment horizontal="right" vertical="center"/>
    </xf>
    <xf numFmtId="0" fontId="7" fillId="0" borderId="0" xfId="3" applyFont="1" applyAlignment="1">
      <alignment horizontal="left" vertical="center" wrapText="1"/>
    </xf>
    <xf numFmtId="0" fontId="29" fillId="0" borderId="0" xfId="3" applyFont="1" applyAlignment="1">
      <alignment horizontal="left" vertical="center" wrapText="1"/>
    </xf>
    <xf numFmtId="0" fontId="2" fillId="0" borderId="0" xfId="3" applyAlignment="1">
      <alignment horizontal="left"/>
    </xf>
    <xf numFmtId="172" fontId="7" fillId="0" borderId="0" xfId="3" applyNumberFormat="1" applyFont="1" applyAlignment="1" applyProtection="1">
      <alignment horizontal="center"/>
      <protection locked="0"/>
    </xf>
    <xf numFmtId="0" fontId="7" fillId="0" borderId="0" xfId="3" applyFont="1" applyAlignment="1">
      <alignment vertical="center" wrapText="1"/>
    </xf>
    <xf numFmtId="0" fontId="57" fillId="0" borderId="0" xfId="3" applyFont="1" applyAlignment="1">
      <alignment horizontal="left" vertical="center" wrapText="1"/>
    </xf>
    <xf numFmtId="0" fontId="29" fillId="0" borderId="0" xfId="3" applyFont="1" applyAlignment="1">
      <alignment vertical="center" wrapText="1"/>
    </xf>
    <xf numFmtId="0" fontId="2" fillId="0" borderId="0" xfId="3" applyAlignment="1">
      <alignment horizontal="center"/>
    </xf>
    <xf numFmtId="0" fontId="2" fillId="0" borderId="0" xfId="3" applyAlignment="1">
      <alignment horizontal="right"/>
    </xf>
    <xf numFmtId="172" fontId="2" fillId="0" borderId="0" xfId="3" applyNumberFormat="1" applyAlignment="1" applyProtection="1">
      <alignment horizontal="center"/>
      <protection locked="0"/>
    </xf>
    <xf numFmtId="49" fontId="2" fillId="0" borderId="15" xfId="3" applyNumberFormat="1" applyBorder="1" applyAlignment="1" applyProtection="1">
      <alignment horizontal="center"/>
      <protection locked="0"/>
    </xf>
    <xf numFmtId="0" fontId="3" fillId="0" borderId="12" xfId="3" applyFont="1" applyBorder="1" applyAlignment="1" applyProtection="1">
      <alignment horizontal="left" vertical="top" wrapText="1"/>
      <protection locked="0"/>
    </xf>
    <xf numFmtId="0" fontId="3" fillId="0" borderId="0" xfId="3" applyFont="1" applyProtection="1">
      <protection locked="0"/>
    </xf>
    <xf numFmtId="0" fontId="3" fillId="0" borderId="16" xfId="3" applyFont="1" applyBorder="1" applyProtection="1">
      <protection locked="0"/>
    </xf>
    <xf numFmtId="0" fontId="3" fillId="0" borderId="12" xfId="3" applyFont="1" applyBorder="1" applyProtection="1">
      <protection locked="0"/>
    </xf>
    <xf numFmtId="0" fontId="3" fillId="0" borderId="9" xfId="3" applyFont="1" applyBorder="1" applyProtection="1">
      <protection locked="0"/>
    </xf>
    <xf numFmtId="0" fontId="3" fillId="0" borderId="10" xfId="3" applyFont="1" applyBorder="1" applyProtection="1">
      <protection locked="0"/>
    </xf>
    <xf numFmtId="0" fontId="3" fillId="0" borderId="11" xfId="3" applyFont="1" applyBorder="1" applyProtection="1">
      <protection locked="0"/>
    </xf>
    <xf numFmtId="172" fontId="2" fillId="0" borderId="7" xfId="3" applyNumberFormat="1" applyBorder="1" applyAlignment="1">
      <alignment horizontal="center"/>
    </xf>
    <xf numFmtId="49" fontId="2" fillId="0" borderId="64" xfId="3" applyNumberFormat="1" applyBorder="1" applyAlignment="1">
      <alignment horizontal="center"/>
    </xf>
    <xf numFmtId="14" fontId="3" fillId="0" borderId="15" xfId="3" applyNumberFormat="1" applyFont="1" applyBorder="1" applyAlignment="1" applyProtection="1">
      <alignment horizontal="center"/>
      <protection locked="0"/>
    </xf>
    <xf numFmtId="0" fontId="3" fillId="0" borderId="15" xfId="3" applyFont="1" applyBorder="1" applyAlignment="1" applyProtection="1">
      <alignment horizontal="center"/>
      <protection locked="0"/>
    </xf>
    <xf numFmtId="0" fontId="3" fillId="0" borderId="6" xfId="3" applyFont="1" applyBorder="1" applyAlignment="1">
      <alignment horizontal="center"/>
    </xf>
    <xf numFmtId="0" fontId="3" fillId="0" borderId="7" xfId="3" applyFont="1" applyBorder="1" applyAlignment="1">
      <alignment horizontal="center"/>
    </xf>
    <xf numFmtId="44" fontId="3" fillId="0" borderId="0" xfId="3" applyNumberFormat="1" applyFont="1"/>
    <xf numFmtId="0" fontId="3" fillId="0" borderId="0" xfId="3" applyFont="1" applyAlignment="1">
      <alignment horizontal="left"/>
    </xf>
    <xf numFmtId="0" fontId="3" fillId="0" borderId="25" xfId="3" applyFont="1" applyBorder="1" applyAlignment="1">
      <alignment horizontal="left"/>
    </xf>
    <xf numFmtId="0" fontId="3" fillId="0" borderId="10" xfId="3" applyFont="1" applyBorder="1" applyAlignment="1">
      <alignment horizontal="left"/>
    </xf>
    <xf numFmtId="0" fontId="2" fillId="0" borderId="20" xfId="3" applyBorder="1" applyAlignment="1">
      <alignment horizontal="left"/>
    </xf>
    <xf numFmtId="0" fontId="2" fillId="0" borderId="21" xfId="3" applyBorder="1" applyAlignment="1">
      <alignment horizontal="left"/>
    </xf>
    <xf numFmtId="44" fontId="3" fillId="0" borderId="23" xfId="5" applyNumberFormat="1" applyFont="1" applyBorder="1" applyAlignment="1" applyProtection="1">
      <alignment horizontal="right"/>
    </xf>
    <xf numFmtId="44" fontId="3" fillId="0" borderId="63" xfId="5" applyNumberFormat="1" applyFont="1" applyBorder="1" applyAlignment="1" applyProtection="1">
      <alignment horizontal="right"/>
    </xf>
    <xf numFmtId="0" fontId="2" fillId="0" borderId="0" xfId="3" applyAlignment="1">
      <alignment horizontal="left" vertical="top" wrapText="1"/>
    </xf>
    <xf numFmtId="0" fontId="2" fillId="0" borderId="25" xfId="3" applyBorder="1" applyAlignment="1">
      <alignment horizontal="left"/>
    </xf>
    <xf numFmtId="0" fontId="5" fillId="0" borderId="0" xfId="3" applyFont="1" applyAlignment="1">
      <alignment horizontal="left"/>
    </xf>
    <xf numFmtId="0" fontId="2" fillId="0" borderId="20" xfId="3" applyBorder="1" applyAlignment="1" applyProtection="1">
      <alignment horizontal="left"/>
      <protection locked="0"/>
    </xf>
    <xf numFmtId="0" fontId="2" fillId="0" borderId="19" xfId="3" applyBorder="1" applyAlignment="1" applyProtection="1">
      <alignment horizontal="left"/>
      <protection locked="0"/>
    </xf>
    <xf numFmtId="0" fontId="2" fillId="0" borderId="39" xfId="3" applyBorder="1" applyAlignment="1" applyProtection="1">
      <alignment horizontal="left"/>
      <protection locked="0"/>
    </xf>
    <xf numFmtId="0" fontId="2" fillId="0" borderId="12" xfId="3" applyBorder="1" applyAlignment="1" applyProtection="1">
      <alignment horizontal="left" vertical="top" wrapText="1"/>
      <protection locked="0"/>
    </xf>
    <xf numFmtId="0" fontId="2" fillId="0" borderId="0" xfId="3" applyAlignment="1" applyProtection="1">
      <alignment horizontal="left" vertical="top" wrapText="1"/>
      <protection locked="0"/>
    </xf>
    <xf numFmtId="0" fontId="2" fillId="0" borderId="16" xfId="3" applyBorder="1" applyAlignment="1" applyProtection="1">
      <alignment horizontal="left" vertical="top" wrapText="1"/>
      <protection locked="0"/>
    </xf>
    <xf numFmtId="0" fontId="2" fillId="0" borderId="9" xfId="3" applyBorder="1" applyAlignment="1" applyProtection="1">
      <alignment horizontal="left" vertical="top" wrapText="1"/>
      <protection locked="0"/>
    </xf>
    <xf numFmtId="0" fontId="2" fillId="0" borderId="10" xfId="3" applyBorder="1" applyAlignment="1" applyProtection="1">
      <alignment horizontal="left" vertical="top" wrapText="1"/>
      <protection locked="0"/>
    </xf>
    <xf numFmtId="0" fontId="2" fillId="0" borderId="11" xfId="3" applyBorder="1" applyAlignment="1" applyProtection="1">
      <alignment horizontal="left" vertical="top" wrapText="1"/>
      <protection locked="0"/>
    </xf>
    <xf numFmtId="0" fontId="12" fillId="0" borderId="6" xfId="3" applyFont="1" applyBorder="1" applyAlignment="1">
      <alignment horizontal="center"/>
    </xf>
    <xf numFmtId="0" fontId="12" fillId="0" borderId="7" xfId="3" applyFont="1" applyBorder="1" applyAlignment="1">
      <alignment horizontal="center"/>
    </xf>
    <xf numFmtId="49" fontId="2" fillId="0" borderId="74" xfId="5" applyNumberFormat="1" applyBorder="1" applyAlignment="1" applyProtection="1">
      <alignment horizontal="left"/>
      <protection locked="0"/>
    </xf>
    <xf numFmtId="49" fontId="2" fillId="0" borderId="15" xfId="5" applyNumberFormat="1" applyBorder="1" applyAlignment="1" applyProtection="1">
      <alignment horizontal="left"/>
      <protection locked="0"/>
    </xf>
    <xf numFmtId="49" fontId="2" fillId="0" borderId="67" xfId="5" applyNumberFormat="1" applyBorder="1" applyAlignment="1" applyProtection="1">
      <alignment horizontal="left"/>
      <protection locked="0"/>
    </xf>
    <xf numFmtId="44" fontId="3" fillId="0" borderId="74" xfId="1" applyFont="1" applyBorder="1" applyAlignment="1" applyProtection="1">
      <alignment horizontal="right"/>
      <protection locked="0"/>
    </xf>
    <xf numFmtId="44" fontId="3" fillId="0" borderId="67" xfId="1" applyFont="1" applyBorder="1" applyAlignment="1" applyProtection="1">
      <alignment horizontal="right"/>
      <protection locked="0"/>
    </xf>
    <xf numFmtId="0" fontId="2" fillId="0" borderId="10" xfId="3" applyBorder="1" applyAlignment="1">
      <alignment horizontal="left" vertical="top" wrapText="1"/>
    </xf>
    <xf numFmtId="44" fontId="3" fillId="0" borderId="28" xfId="1" applyFont="1" applyBorder="1" applyAlignment="1" applyProtection="1">
      <alignment horizontal="right"/>
      <protection locked="0"/>
    </xf>
    <xf numFmtId="44" fontId="3" fillId="0" borderId="15" xfId="1" applyFont="1" applyBorder="1" applyAlignment="1" applyProtection="1">
      <alignment horizontal="right"/>
      <protection locked="0"/>
    </xf>
    <xf numFmtId="44" fontId="3" fillId="0" borderId="0" xfId="5" applyNumberFormat="1" applyFont="1" applyAlignment="1">
      <alignment horizontal="right"/>
    </xf>
    <xf numFmtId="49" fontId="2" fillId="0" borderId="70" xfId="5" applyNumberFormat="1" applyBorder="1" applyAlignment="1" applyProtection="1">
      <alignment horizontal="left"/>
      <protection locked="0"/>
    </xf>
    <xf numFmtId="49" fontId="2" fillId="0" borderId="69" xfId="5" applyNumberFormat="1" applyBorder="1" applyAlignment="1" applyProtection="1">
      <alignment horizontal="left"/>
      <protection locked="0"/>
    </xf>
    <xf numFmtId="44" fontId="3" fillId="0" borderId="68" xfId="1" applyFont="1" applyBorder="1" applyAlignment="1" applyProtection="1">
      <alignment horizontal="right"/>
      <protection locked="0"/>
    </xf>
    <xf numFmtId="44" fontId="3" fillId="0" borderId="69" xfId="1" applyFont="1" applyBorder="1" applyAlignment="1" applyProtection="1">
      <alignment horizontal="right"/>
      <protection locked="0"/>
    </xf>
    <xf numFmtId="49" fontId="3" fillId="0" borderId="0" xfId="3" applyNumberFormat="1" applyFont="1"/>
    <xf numFmtId="0" fontId="2" fillId="0" borderId="0" xfId="3"/>
    <xf numFmtId="44" fontId="2" fillId="0" borderId="0" xfId="3" applyNumberFormat="1" applyAlignment="1">
      <alignment horizontal="right"/>
    </xf>
    <xf numFmtId="49" fontId="2" fillId="0" borderId="20" xfId="3" applyNumberFormat="1" applyBorder="1" applyAlignment="1" applyProtection="1">
      <alignment horizontal="left"/>
      <protection locked="0"/>
    </xf>
    <xf numFmtId="49" fontId="2" fillId="0" borderId="21" xfId="3" applyNumberFormat="1" applyBorder="1" applyAlignment="1" applyProtection="1">
      <alignment horizontal="left"/>
      <protection locked="0"/>
    </xf>
    <xf numFmtId="0" fontId="8" fillId="0" borderId="1" xfId="3" applyFont="1" applyBorder="1" applyAlignment="1">
      <alignment horizontal="left" vertical="top" wrapText="1"/>
    </xf>
    <xf numFmtId="49" fontId="2" fillId="0" borderId="0" xfId="3" applyNumberFormat="1" applyAlignment="1">
      <alignment horizontal="center"/>
    </xf>
    <xf numFmtId="49" fontId="2" fillId="0" borderId="16" xfId="3" applyNumberFormat="1" applyBorder="1" applyAlignment="1">
      <alignment horizontal="center"/>
    </xf>
    <xf numFmtId="44" fontId="3" fillId="0" borderId="9" xfId="5" applyNumberFormat="1" applyFont="1" applyBorder="1" applyAlignment="1">
      <alignment horizontal="right"/>
    </xf>
    <xf numFmtId="44" fontId="3" fillId="0" borderId="11" xfId="5" applyNumberFormat="1" applyFont="1" applyBorder="1" applyAlignment="1">
      <alignment horizontal="right"/>
    </xf>
    <xf numFmtId="0" fontId="3" fillId="0" borderId="0" xfId="3" applyFont="1" applyAlignment="1">
      <alignment horizontal="center"/>
    </xf>
    <xf numFmtId="0" fontId="3" fillId="0" borderId="40" xfId="3" applyFont="1" applyBorder="1" applyAlignment="1">
      <alignment horizontal="center"/>
    </xf>
    <xf numFmtId="0" fontId="2" fillId="0" borderId="70" xfId="3" applyBorder="1" applyAlignment="1" applyProtection="1">
      <alignment horizontal="center"/>
      <protection locked="0"/>
    </xf>
    <xf numFmtId="0" fontId="2" fillId="0" borderId="15" xfId="3" applyBorder="1" applyAlignment="1" applyProtection="1">
      <alignment horizontal="center"/>
      <protection locked="0"/>
    </xf>
    <xf numFmtId="0" fontId="2" fillId="0" borderId="69" xfId="3" applyBorder="1" applyAlignment="1" applyProtection="1">
      <alignment horizontal="center"/>
      <protection locked="0"/>
    </xf>
    <xf numFmtId="44" fontId="3" fillId="0" borderId="68" xfId="1" applyFont="1" applyBorder="1" applyAlignment="1" applyProtection="1">
      <alignment horizontal="center"/>
      <protection locked="0"/>
    </xf>
    <xf numFmtId="44" fontId="3" fillId="0" borderId="67" xfId="1" applyFont="1" applyBorder="1" applyAlignment="1" applyProtection="1">
      <alignment horizontal="center"/>
      <protection locked="0"/>
    </xf>
    <xf numFmtId="0" fontId="2" fillId="0" borderId="50" xfId="3" applyBorder="1" applyAlignment="1" applyProtection="1">
      <alignment horizontal="center"/>
      <protection locked="0"/>
    </xf>
    <xf numFmtId="44" fontId="3" fillId="0" borderId="15" xfId="1" applyFont="1" applyBorder="1" applyAlignment="1" applyProtection="1">
      <alignment horizontal="center"/>
      <protection locked="0"/>
    </xf>
    <xf numFmtId="49" fontId="2" fillId="0" borderId="65" xfId="3" applyNumberFormat="1" applyBorder="1" applyAlignment="1" applyProtection="1">
      <alignment horizontal="left"/>
      <protection locked="0"/>
    </xf>
    <xf numFmtId="44" fontId="3" fillId="0" borderId="0" xfId="3" applyNumberFormat="1" applyFont="1" applyAlignment="1">
      <alignment horizontal="center"/>
    </xf>
    <xf numFmtId="0" fontId="2" fillId="0" borderId="80" xfId="3" applyBorder="1" applyProtection="1">
      <protection locked="0"/>
    </xf>
    <xf numFmtId="0" fontId="2" fillId="0" borderId="81" xfId="3" applyBorder="1" applyProtection="1">
      <protection locked="0"/>
    </xf>
    <xf numFmtId="0" fontId="2" fillId="0" borderId="77" xfId="3" applyBorder="1" applyAlignment="1" applyProtection="1">
      <alignment horizontal="left" vertical="top" wrapText="1"/>
      <protection locked="0"/>
    </xf>
    <xf numFmtId="0" fontId="2" fillId="0" borderId="25" xfId="3" applyBorder="1" applyAlignment="1" applyProtection="1">
      <alignment horizontal="left" vertical="top" wrapText="1"/>
      <protection locked="0"/>
    </xf>
    <xf numFmtId="0" fontId="2" fillId="0" borderId="78" xfId="3" applyBorder="1" applyAlignment="1" applyProtection="1">
      <alignment horizontal="left" vertical="top" wrapText="1"/>
      <protection locked="0"/>
    </xf>
    <xf numFmtId="0" fontId="2" fillId="0" borderId="15" xfId="3" applyBorder="1" applyAlignment="1" applyProtection="1">
      <alignment horizontal="left" vertical="top" wrapText="1"/>
      <protection locked="0"/>
    </xf>
    <xf numFmtId="0" fontId="2" fillId="0" borderId="79" xfId="3" applyBorder="1" applyAlignment="1" applyProtection="1">
      <alignment horizontal="left" vertical="top" wrapText="1"/>
      <protection locked="0"/>
    </xf>
    <xf numFmtId="49" fontId="2" fillId="0" borderId="71" xfId="3" applyNumberFormat="1" applyBorder="1" applyAlignment="1">
      <alignment horizontal="left"/>
    </xf>
    <xf numFmtId="49" fontId="2" fillId="0" borderId="10" xfId="3" applyNumberFormat="1" applyBorder="1" applyAlignment="1">
      <alignment horizontal="left"/>
    </xf>
    <xf numFmtId="49" fontId="2" fillId="0" borderId="73" xfId="3" applyNumberFormat="1" applyBorder="1" applyAlignment="1">
      <alignment horizontal="left"/>
    </xf>
    <xf numFmtId="0" fontId="2" fillId="0" borderId="12" xfId="3" applyBorder="1" applyAlignment="1">
      <alignment horizontal="center"/>
    </xf>
    <xf numFmtId="0" fontId="2" fillId="0" borderId="16" xfId="3" applyBorder="1" applyAlignment="1">
      <alignment horizontal="center"/>
    </xf>
    <xf numFmtId="0" fontId="4" fillId="0" borderId="0" xfId="3" applyFont="1"/>
    <xf numFmtId="49" fontId="3" fillId="0" borderId="0" xfId="3" applyNumberFormat="1" applyFont="1" applyAlignment="1">
      <alignment horizontal="center"/>
    </xf>
    <xf numFmtId="49" fontId="8" fillId="0" borderId="0" xfId="3" applyNumberFormat="1" applyFont="1" applyAlignment="1">
      <alignment horizontal="left"/>
    </xf>
    <xf numFmtId="0" fontId="3" fillId="0" borderId="0" xfId="3" applyFont="1" applyAlignment="1">
      <alignment horizontal="right"/>
    </xf>
    <xf numFmtId="44" fontId="3" fillId="0" borderId="0" xfId="3" applyNumberFormat="1" applyFont="1" applyAlignment="1">
      <alignment horizontal="right"/>
    </xf>
    <xf numFmtId="0" fontId="3" fillId="0" borderId="0" xfId="3" quotePrefix="1" applyFont="1"/>
    <xf numFmtId="0" fontId="9" fillId="0" borderId="0" xfId="3" applyFont="1"/>
    <xf numFmtId="0" fontId="38" fillId="0" borderId="77" xfId="3" applyFont="1" applyBorder="1" applyAlignment="1" applyProtection="1">
      <alignment horizontal="left" vertical="top" wrapText="1"/>
      <protection locked="0"/>
    </xf>
    <xf numFmtId="0" fontId="38" fillId="0" borderId="0" xfId="3" applyFont="1" applyAlignment="1" applyProtection="1">
      <alignment horizontal="left" vertical="top" wrapText="1"/>
      <protection locked="0"/>
    </xf>
    <xf numFmtId="0" fontId="38" fillId="0" borderId="25" xfId="3" applyFont="1" applyBorder="1" applyAlignment="1" applyProtection="1">
      <alignment horizontal="left" vertical="top" wrapText="1"/>
      <protection locked="0"/>
    </xf>
    <xf numFmtId="0" fontId="38" fillId="0" borderId="78" xfId="3" applyFont="1" applyBorder="1" applyAlignment="1" applyProtection="1">
      <alignment horizontal="left" vertical="top" wrapText="1"/>
      <protection locked="0"/>
    </xf>
    <xf numFmtId="0" fontId="38" fillId="0" borderId="15" xfId="3" applyFont="1" applyBorder="1" applyAlignment="1" applyProtection="1">
      <alignment horizontal="left" vertical="top" wrapText="1"/>
      <protection locked="0"/>
    </xf>
    <xf numFmtId="0" fontId="38" fillId="0" borderId="79" xfId="3" applyFont="1" applyBorder="1" applyAlignment="1" applyProtection="1">
      <alignment horizontal="left" vertical="top" wrapText="1"/>
      <protection locked="0"/>
    </xf>
    <xf numFmtId="0" fontId="38" fillId="0" borderId="0" xfId="3" applyFont="1" applyAlignment="1">
      <alignment horizontal="right"/>
    </xf>
    <xf numFmtId="44" fontId="35" fillId="0" borderId="0" xfId="3" applyNumberFormat="1" applyFont="1"/>
    <xf numFmtId="0" fontId="38" fillId="0" borderId="25" xfId="3" applyFont="1" applyBorder="1" applyAlignment="1">
      <alignment horizontal="left"/>
    </xf>
    <xf numFmtId="0" fontId="60" fillId="0" borderId="0" xfId="3" applyFont="1" applyAlignment="1">
      <alignment horizontal="left"/>
    </xf>
    <xf numFmtId="0" fontId="38" fillId="0" borderId="6" xfId="3" applyFont="1" applyBorder="1" applyAlignment="1">
      <alignment horizontal="center"/>
    </xf>
    <xf numFmtId="0" fontId="38" fillId="0" borderId="7" xfId="3" applyFont="1" applyBorder="1" applyAlignment="1">
      <alignment horizontal="center"/>
    </xf>
    <xf numFmtId="0" fontId="38" fillId="0" borderId="0" xfId="3" applyFont="1" applyAlignment="1">
      <alignment horizontal="left" vertical="top" wrapText="1"/>
    </xf>
    <xf numFmtId="0" fontId="35" fillId="0" borderId="25" xfId="3" applyFont="1" applyBorder="1" applyAlignment="1">
      <alignment horizontal="left"/>
    </xf>
    <xf numFmtId="0" fontId="35" fillId="0" borderId="10" xfId="3" applyFont="1" applyBorder="1" applyAlignment="1">
      <alignment horizontal="left"/>
    </xf>
    <xf numFmtId="0" fontId="29" fillId="0" borderId="0" xfId="3" applyFont="1" applyAlignment="1">
      <alignment horizontal="right"/>
    </xf>
    <xf numFmtId="172" fontId="29" fillId="0" borderId="7" xfId="3" applyNumberFormat="1" applyFont="1" applyBorder="1" applyAlignment="1">
      <alignment horizontal="center"/>
    </xf>
    <xf numFmtId="49" fontId="29" fillId="0" borderId="64" xfId="3" applyNumberFormat="1" applyFont="1" applyBorder="1" applyAlignment="1">
      <alignment horizontal="center"/>
    </xf>
    <xf numFmtId="172" fontId="29" fillId="0" borderId="0" xfId="3" applyNumberFormat="1" applyFont="1" applyAlignment="1" applyProtection="1">
      <alignment horizontal="center"/>
      <protection locked="0"/>
    </xf>
    <xf numFmtId="49" fontId="29" fillId="0" borderId="15" xfId="3" applyNumberFormat="1" applyFont="1" applyBorder="1" applyAlignment="1" applyProtection="1">
      <alignment horizontal="center"/>
      <protection locked="0"/>
    </xf>
    <xf numFmtId="173" fontId="2" fillId="2" borderId="10" xfId="3" applyNumberFormat="1" applyFill="1" applyBorder="1" applyAlignment="1" applyProtection="1">
      <alignment horizontal="center"/>
      <protection locked="0"/>
    </xf>
    <xf numFmtId="0" fontId="2" fillId="0" borderId="10" xfId="3" applyBorder="1" applyAlignment="1" applyProtection="1">
      <alignment horizontal="left"/>
      <protection locked="0"/>
    </xf>
    <xf numFmtId="0" fontId="2" fillId="0" borderId="18" xfId="3" applyBorder="1" applyAlignment="1">
      <alignment horizontal="left"/>
    </xf>
    <xf numFmtId="14" fontId="2" fillId="0" borderId="18" xfId="3" applyNumberFormat="1" applyBorder="1" applyAlignment="1">
      <alignment horizontal="left"/>
    </xf>
    <xf numFmtId="0" fontId="4" fillId="0" borderId="0" xfId="3" applyFont="1" applyAlignment="1">
      <alignment horizontal="center"/>
    </xf>
    <xf numFmtId="49" fontId="17" fillId="2" borderId="0" xfId="3" applyNumberFormat="1" applyFont="1" applyFill="1" applyAlignment="1">
      <alignment horizontal="center"/>
    </xf>
    <xf numFmtId="49" fontId="9" fillId="2" borderId="10" xfId="3" applyNumberFormat="1" applyFont="1" applyFill="1" applyBorder="1"/>
    <xf numFmtId="49" fontId="9" fillId="2" borderId="18" xfId="3" applyNumberFormat="1" applyFont="1" applyFill="1" applyBorder="1"/>
    <xf numFmtId="49" fontId="9" fillId="2" borderId="18" xfId="3" applyNumberFormat="1" applyFont="1" applyFill="1" applyBorder="1" applyAlignment="1">
      <alignment horizontal="right"/>
    </xf>
    <xf numFmtId="172" fontId="9" fillId="2" borderId="18" xfId="3" applyNumberFormat="1" applyFont="1" applyFill="1" applyBorder="1" applyAlignment="1">
      <alignment horizontal="left"/>
    </xf>
    <xf numFmtId="49" fontId="9" fillId="2" borderId="10" xfId="3" applyNumberFormat="1" applyFont="1" applyFill="1" applyBorder="1" applyAlignment="1">
      <alignment horizontal="left"/>
    </xf>
    <xf numFmtId="49" fontId="9" fillId="2" borderId="18" xfId="3" applyNumberFormat="1" applyFont="1" applyFill="1" applyBorder="1" applyAlignment="1">
      <alignment horizontal="left"/>
    </xf>
    <xf numFmtId="49" fontId="2" fillId="2" borderId="18" xfId="3" applyNumberFormat="1" applyFill="1" applyBorder="1" applyAlignment="1">
      <alignment horizontal="left"/>
    </xf>
    <xf numFmtId="0" fontId="2" fillId="0" borderId="10" xfId="3" applyBorder="1" applyAlignment="1">
      <alignment horizontal="left"/>
    </xf>
    <xf numFmtId="49" fontId="9" fillId="2" borderId="7" xfId="3" applyNumberFormat="1" applyFont="1" applyFill="1" applyBorder="1" applyAlignment="1">
      <alignment horizontal="left"/>
    </xf>
    <xf numFmtId="172" fontId="9" fillId="2" borderId="10" xfId="3" applyNumberFormat="1" applyFont="1" applyFill="1" applyBorder="1" applyAlignment="1">
      <alignment horizontal="left"/>
    </xf>
    <xf numFmtId="0" fontId="7" fillId="0" borderId="12" xfId="0" applyFont="1" applyBorder="1" applyAlignment="1">
      <alignment horizontal="left"/>
    </xf>
    <xf numFmtId="0" fontId="0" fillId="0" borderId="16" xfId="0" applyBorder="1" applyAlignment="1">
      <alignment horizontal="left"/>
    </xf>
    <xf numFmtId="0" fontId="9" fillId="0" borderId="0" xfId="0" applyFont="1"/>
    <xf numFmtId="0" fontId="0" fillId="0" borderId="16" xfId="0" applyBorder="1"/>
    <xf numFmtId="0" fontId="9" fillId="0" borderId="10" xfId="0" applyFont="1" applyBorder="1"/>
    <xf numFmtId="0" fontId="0" fillId="0" borderId="10" xfId="0" applyBorder="1"/>
    <xf numFmtId="0" fontId="0" fillId="0" borderId="11" xfId="0" applyBorder="1"/>
    <xf numFmtId="0" fontId="2" fillId="0" borderId="9" xfId="0" applyFont="1" applyBorder="1" applyAlignment="1">
      <alignment horizontal="center"/>
    </xf>
    <xf numFmtId="0" fontId="0" fillId="0" borderId="11" xfId="0" applyBorder="1" applyAlignment="1">
      <alignment horizontal="center"/>
    </xf>
    <xf numFmtId="0" fontId="2" fillId="0" borderId="0" xfId="0" applyFont="1" applyAlignment="1">
      <alignment horizontal="left"/>
    </xf>
    <xf numFmtId="0" fontId="47" fillId="0" borderId="0" xfId="0" applyFont="1" applyAlignment="1">
      <alignment horizontal="left"/>
    </xf>
    <xf numFmtId="0" fontId="4" fillId="0" borderId="0" xfId="0" applyFont="1" applyAlignment="1">
      <alignment horizontal="center"/>
    </xf>
    <xf numFmtId="0" fontId="9" fillId="0" borderId="6" xfId="0" applyFont="1" applyBorder="1" applyAlignment="1">
      <alignment horizontal="center"/>
    </xf>
    <xf numFmtId="0" fontId="0" fillId="0" borderId="8" xfId="0" applyBorder="1" applyAlignment="1">
      <alignment horizontal="center"/>
    </xf>
    <xf numFmtId="0" fontId="51" fillId="0" borderId="12" xfId="0" applyFont="1" applyBorder="1" applyAlignment="1">
      <alignment horizontal="left"/>
    </xf>
    <xf numFmtId="0" fontId="51" fillId="0" borderId="16" xfId="0" applyFont="1" applyBorder="1"/>
    <xf numFmtId="0" fontId="38" fillId="0" borderId="12" xfId="0" applyFont="1" applyBorder="1"/>
    <xf numFmtId="0" fontId="38" fillId="0" borderId="9" xfId="0" applyFont="1" applyBorder="1" applyAlignment="1">
      <alignment horizontal="left"/>
    </xf>
    <xf numFmtId="0" fontId="38" fillId="0" borderId="11" xfId="0" applyFont="1" applyBorder="1" applyAlignment="1">
      <alignment horizontal="left"/>
    </xf>
    <xf numFmtId="0" fontId="51" fillId="0" borderId="16" xfId="0" applyFont="1" applyBorder="1" applyAlignment="1">
      <alignment horizontal="left"/>
    </xf>
    <xf numFmtId="0" fontId="51" fillId="0" borderId="12" xfId="0" applyFont="1" applyBorder="1"/>
    <xf numFmtId="0" fontId="36" fillId="0" borderId="0" xfId="0" applyFont="1" applyAlignment="1">
      <alignment horizontal="left"/>
    </xf>
    <xf numFmtId="0" fontId="36" fillId="0" borderId="0" xfId="0" applyFont="1"/>
    <xf numFmtId="16" fontId="4" fillId="0" borderId="0" xfId="0" applyNumberFormat="1" applyFont="1" applyAlignment="1">
      <alignment horizontal="center"/>
    </xf>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29" fillId="0" borderId="12" xfId="0" applyFont="1" applyBorder="1" applyAlignment="1">
      <alignment horizontal="center"/>
    </xf>
    <xf numFmtId="0" fontId="29" fillId="0" borderId="0" xfId="0" applyFont="1" applyAlignment="1">
      <alignment horizontal="center"/>
    </xf>
    <xf numFmtId="0" fontId="29" fillId="0" borderId="16" xfId="0" applyFont="1" applyBorder="1" applyAlignment="1">
      <alignment horizontal="center"/>
    </xf>
    <xf numFmtId="0" fontId="29" fillId="0" borderId="16" xfId="0" applyFont="1" applyBorder="1"/>
    <xf numFmtId="0" fontId="51" fillId="0" borderId="6" xfId="0" applyFont="1" applyBorder="1" applyAlignment="1">
      <alignment horizontal="left"/>
    </xf>
    <xf numFmtId="0" fontId="51" fillId="0" borderId="8" xfId="0" applyFont="1" applyBorder="1"/>
    <xf numFmtId="0" fontId="29" fillId="0" borderId="6" xfId="0" applyFont="1" applyBorder="1" applyAlignment="1">
      <alignment horizontal="center"/>
    </xf>
    <xf numFmtId="0" fontId="29" fillId="0" borderId="8" xfId="0" applyFont="1" applyBorder="1" applyAlignment="1">
      <alignment horizontal="center"/>
    </xf>
    <xf numFmtId="0" fontId="51" fillId="0" borderId="7" xfId="0" applyFont="1" applyBorder="1" applyAlignment="1">
      <alignment horizontal="left"/>
    </xf>
    <xf numFmtId="0" fontId="0" fillId="0" borderId="8" xfId="0" applyBorder="1" applyAlignment="1">
      <alignment horizontal="left"/>
    </xf>
    <xf numFmtId="0" fontId="38" fillId="0" borderId="85" xfId="3" applyFont="1" applyBorder="1" applyAlignment="1">
      <alignment horizontal="left" vertical="center"/>
    </xf>
    <xf numFmtId="0" fontId="38" fillId="0" borderId="5" xfId="3" applyFont="1" applyBorder="1" applyAlignment="1">
      <alignment horizontal="left" vertical="center"/>
    </xf>
    <xf numFmtId="0" fontId="1" fillId="0" borderId="1" xfId="0" applyFont="1" applyBorder="1" applyAlignment="1">
      <alignment horizontal="left" vertical="center"/>
    </xf>
    <xf numFmtId="0" fontId="1" fillId="0" borderId="86" xfId="0" applyFont="1" applyBorder="1" applyAlignment="1">
      <alignment horizontal="left" vertical="center"/>
    </xf>
    <xf numFmtId="0" fontId="38" fillId="0" borderId="87" xfId="3" applyFont="1" applyBorder="1" applyAlignment="1">
      <alignment horizontal="left" vertical="center"/>
    </xf>
    <xf numFmtId="0" fontId="38" fillId="0" borderId="18" xfId="3" applyFont="1" applyBorder="1" applyAlignment="1">
      <alignment horizontal="left" vertical="center"/>
    </xf>
    <xf numFmtId="0" fontId="38" fillId="0" borderId="98" xfId="3" applyFont="1" applyBorder="1" applyAlignment="1">
      <alignment horizontal="left" vertical="center"/>
    </xf>
    <xf numFmtId="0" fontId="38" fillId="0" borderId="45" xfId="3" applyFont="1" applyBorder="1" applyAlignment="1">
      <alignment horizontal="left" vertical="center"/>
    </xf>
    <xf numFmtId="0" fontId="38" fillId="0" borderId="92" xfId="3" applyFont="1" applyBorder="1" applyAlignment="1">
      <alignment horizontal="left" vertical="center"/>
    </xf>
    <xf numFmtId="0" fontId="1" fillId="0" borderId="57" xfId="0" applyFont="1" applyBorder="1" applyAlignment="1">
      <alignment horizontal="left" vertical="center"/>
    </xf>
    <xf numFmtId="0" fontId="1" fillId="0" borderId="49" xfId="0" applyFont="1" applyBorder="1" applyAlignment="1">
      <alignment horizontal="left" vertical="center"/>
    </xf>
    <xf numFmtId="14" fontId="38" fillId="0" borderId="0" xfId="3" applyNumberFormat="1" applyFont="1" applyAlignment="1">
      <alignment horizontal="left"/>
    </xf>
    <xf numFmtId="0" fontId="38" fillId="0" borderId="10" xfId="3" applyFont="1" applyBorder="1" applyAlignment="1">
      <alignment horizontal="center"/>
    </xf>
    <xf numFmtId="49" fontId="38" fillId="0" borderId="10" xfId="3" applyNumberFormat="1" applyFont="1" applyBorder="1" applyAlignment="1">
      <alignment horizontal="left"/>
    </xf>
    <xf numFmtId="0" fontId="38" fillId="0" borderId="43" xfId="3" applyFont="1" applyBorder="1" applyAlignment="1">
      <alignment horizontal="left" vertical="center"/>
    </xf>
    <xf numFmtId="0" fontId="38" fillId="0" borderId="35" xfId="3" applyFont="1" applyBorder="1" applyAlignment="1">
      <alignment horizontal="left" vertical="center"/>
    </xf>
    <xf numFmtId="0" fontId="1" fillId="0" borderId="47" xfId="0" applyFont="1" applyBorder="1" applyAlignment="1">
      <alignment horizontal="left" vertical="center"/>
    </xf>
    <xf numFmtId="0" fontId="1" fillId="0" borderId="44" xfId="0" applyFont="1" applyBorder="1" applyAlignment="1">
      <alignment horizontal="left" vertical="center"/>
    </xf>
    <xf numFmtId="0" fontId="29" fillId="11" borderId="13" xfId="3" applyFont="1" applyFill="1" applyBorder="1" applyAlignment="1">
      <alignment horizontal="left" vertical="center"/>
    </xf>
    <xf numFmtId="0" fontId="1" fillId="0" borderId="18" xfId="0" applyFont="1" applyBorder="1" applyAlignment="1">
      <alignment horizontal="left" vertical="center"/>
    </xf>
    <xf numFmtId="0" fontId="1" fillId="0" borderId="98" xfId="0" applyFont="1" applyBorder="1" applyAlignment="1">
      <alignment horizontal="left" vertical="center"/>
    </xf>
    <xf numFmtId="44" fontId="29" fillId="0" borderId="1" xfId="3" applyNumberFormat="1" applyFont="1" applyBorder="1" applyAlignment="1">
      <alignment horizontal="right" vertical="center"/>
    </xf>
    <xf numFmtId="44" fontId="1" fillId="0" borderId="1" xfId="0" applyNumberFormat="1" applyFont="1" applyBorder="1" applyAlignment="1">
      <alignment horizontal="right" vertical="center"/>
    </xf>
    <xf numFmtId="0" fontId="29" fillId="11" borderId="96" xfId="3" applyFont="1" applyFill="1" applyBorder="1" applyAlignment="1">
      <alignment horizontal="left" vertical="center"/>
    </xf>
    <xf numFmtId="0" fontId="1" fillId="0" borderId="64" xfId="0" applyFont="1" applyBorder="1" applyAlignment="1">
      <alignment horizontal="left" vertical="center"/>
    </xf>
    <xf numFmtId="0" fontId="1" fillId="0" borderId="99" xfId="0" applyFont="1" applyBorder="1" applyAlignment="1">
      <alignment horizontal="left" vertical="center"/>
    </xf>
    <xf numFmtId="167" fontId="42" fillId="0" borderId="0" xfId="5" applyNumberFormat="1" applyFont="1" applyBorder="1" applyAlignment="1">
      <alignment horizontal="right"/>
    </xf>
    <xf numFmtId="0" fontId="23" fillId="0" borderId="0" xfId="0" applyFont="1" applyAlignment="1">
      <alignment horizontal="right"/>
    </xf>
    <xf numFmtId="0" fontId="42" fillId="0" borderId="29" xfId="3" applyFont="1" applyBorder="1" applyAlignment="1">
      <alignment horizontal="center" vertical="center"/>
    </xf>
    <xf numFmtId="0" fontId="42" fillId="0" borderId="31" xfId="3" applyFont="1" applyBorder="1" applyAlignment="1">
      <alignment horizontal="center" vertical="center"/>
    </xf>
    <xf numFmtId="0" fontId="23" fillId="0" borderId="32" xfId="0" applyFont="1" applyBorder="1" applyAlignment="1">
      <alignment horizontal="center" vertical="center"/>
    </xf>
    <xf numFmtId="0" fontId="23" fillId="0" borderId="33" xfId="0" applyFont="1" applyBorder="1" applyAlignment="1">
      <alignment horizontal="center" vertical="center"/>
    </xf>
    <xf numFmtId="0" fontId="1" fillId="0" borderId="0" xfId="0" applyFont="1" applyAlignment="1">
      <alignment horizontal="right"/>
    </xf>
    <xf numFmtId="0" fontId="29" fillId="11" borderId="34" xfId="3" applyFont="1" applyFill="1" applyBorder="1" applyAlignment="1">
      <alignment horizontal="left" vertical="center"/>
    </xf>
    <xf numFmtId="0" fontId="1" fillId="0" borderId="80" xfId="0" applyFont="1" applyBorder="1" applyAlignment="1">
      <alignment horizontal="left" vertical="center"/>
    </xf>
    <xf numFmtId="0" fontId="1" fillId="0" borderId="81" xfId="0" applyFont="1" applyBorder="1" applyAlignment="1">
      <alignment horizontal="left" vertical="center"/>
    </xf>
    <xf numFmtId="44" fontId="29" fillId="0" borderId="4" xfId="3" applyNumberFormat="1" applyFont="1" applyBorder="1" applyAlignment="1">
      <alignment horizontal="right" vertical="center"/>
    </xf>
    <xf numFmtId="44" fontId="1" fillId="0" borderId="4" xfId="0" applyNumberFormat="1" applyFont="1" applyBorder="1" applyAlignment="1">
      <alignment horizontal="right" vertical="center"/>
    </xf>
    <xf numFmtId="0" fontId="29" fillId="0" borderId="29" xfId="3" applyFont="1" applyBorder="1" applyAlignment="1">
      <alignment horizontal="center" vertical="center"/>
    </xf>
    <xf numFmtId="0" fontId="29" fillId="0" borderId="31" xfId="3"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27" fillId="0" borderId="25" xfId="0" applyFont="1" applyBorder="1" applyAlignment="1">
      <alignment horizontal="right"/>
    </xf>
    <xf numFmtId="0" fontId="29" fillId="0" borderId="43" xfId="3" applyFont="1" applyBorder="1" applyAlignment="1">
      <alignment horizontal="left" vertical="center"/>
    </xf>
    <xf numFmtId="0" fontId="29" fillId="0" borderId="35" xfId="3" applyFont="1" applyBorder="1" applyAlignment="1">
      <alignment horizontal="left" vertical="center"/>
    </xf>
    <xf numFmtId="0" fontId="29" fillId="0" borderId="85" xfId="3" applyFont="1" applyBorder="1" applyAlignment="1">
      <alignment horizontal="left" vertical="center"/>
    </xf>
    <xf numFmtId="0" fontId="29" fillId="0" borderId="5" xfId="3" applyFont="1" applyBorder="1" applyAlignment="1">
      <alignment horizontal="left" vertical="center"/>
    </xf>
    <xf numFmtId="0" fontId="29" fillId="0" borderId="87" xfId="3" applyFont="1" applyBorder="1" applyAlignment="1">
      <alignment horizontal="left" vertical="center"/>
    </xf>
    <xf numFmtId="0" fontId="29" fillId="0" borderId="18" xfId="3" applyFont="1" applyBorder="1" applyAlignment="1">
      <alignment horizontal="left" vertical="center"/>
    </xf>
    <xf numFmtId="0" fontId="29" fillId="0" borderId="98" xfId="3" applyFont="1" applyBorder="1" applyAlignment="1">
      <alignment horizontal="left" vertical="center"/>
    </xf>
    <xf numFmtId="0" fontId="29" fillId="0" borderId="45" xfId="3" applyFont="1" applyBorder="1" applyAlignment="1">
      <alignment horizontal="left" vertical="center"/>
    </xf>
    <xf numFmtId="0" fontId="29" fillId="0" borderId="92" xfId="3" applyFont="1" applyBorder="1" applyAlignment="1">
      <alignment horizontal="left" vertical="center"/>
    </xf>
    <xf numFmtId="0" fontId="36" fillId="0" borderId="75" xfId="3" applyFont="1" applyBorder="1"/>
    <xf numFmtId="0" fontId="36" fillId="0" borderId="28" xfId="3" applyFont="1" applyBorder="1"/>
    <xf numFmtId="0" fontId="64" fillId="0" borderId="28" xfId="0" applyFont="1" applyBorder="1"/>
    <xf numFmtId="0" fontId="64" fillId="0" borderId="76" xfId="0" applyFont="1" applyBorder="1"/>
    <xf numFmtId="0" fontId="29" fillId="11" borderId="6" xfId="3" applyFont="1" applyFill="1" applyBorder="1" applyAlignment="1">
      <alignment horizontal="left" vertical="center"/>
    </xf>
    <xf numFmtId="0" fontId="1" fillId="0" borderId="7" xfId="0" applyFont="1" applyBorder="1" applyAlignment="1">
      <alignment horizontal="left" vertical="center"/>
    </xf>
    <xf numFmtId="0" fontId="38" fillId="0" borderId="32" xfId="3" applyFont="1" applyBorder="1" applyAlignment="1">
      <alignment horizontal="center" vertical="center"/>
    </xf>
    <xf numFmtId="0" fontId="27" fillId="0" borderId="32" xfId="0" applyFont="1" applyBorder="1" applyAlignment="1">
      <alignment horizontal="center"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42" fillId="11" borderId="13" xfId="3" applyFont="1" applyFill="1" applyBorder="1" applyAlignment="1">
      <alignment horizontal="center" vertical="center"/>
    </xf>
    <xf numFmtId="0" fontId="1" fillId="0" borderId="18" xfId="0" applyFont="1" applyBorder="1" applyAlignment="1">
      <alignment horizontal="center" vertical="center"/>
    </xf>
    <xf numFmtId="167" fontId="29" fillId="0" borderId="1" xfId="3" applyNumberFormat="1" applyFont="1" applyBorder="1" applyAlignment="1">
      <alignment horizontal="right" vertical="center"/>
    </xf>
    <xf numFmtId="167" fontId="1" fillId="0" borderId="1" xfId="0" applyNumberFormat="1" applyFont="1" applyBorder="1" applyAlignment="1">
      <alignment horizontal="right" vertical="center"/>
    </xf>
    <xf numFmtId="167" fontId="29" fillId="0" borderId="13" xfId="3" applyNumberFormat="1" applyFont="1" applyBorder="1" applyAlignment="1">
      <alignment horizontal="right" vertical="center"/>
    </xf>
    <xf numFmtId="167" fontId="29" fillId="0" borderId="5" xfId="3" applyNumberFormat="1" applyFont="1" applyBorder="1" applyAlignment="1">
      <alignment horizontal="right" vertical="center"/>
    </xf>
    <xf numFmtId="0" fontId="35" fillId="0" borderId="15" xfId="3" quotePrefix="1" applyFont="1" applyBorder="1"/>
    <xf numFmtId="0" fontId="38" fillId="0" borderId="15" xfId="3" applyFont="1" applyBorder="1"/>
    <xf numFmtId="0" fontId="36" fillId="0" borderId="0" xfId="3" applyFont="1" applyAlignment="1">
      <alignment wrapText="1"/>
    </xf>
    <xf numFmtId="0" fontId="55" fillId="11" borderId="6" xfId="3" applyFont="1" applyFill="1" applyBorder="1" applyAlignment="1">
      <alignment horizontal="left"/>
    </xf>
    <xf numFmtId="0" fontId="90" fillId="0" borderId="7" xfId="0" applyFont="1" applyBorder="1" applyAlignment="1">
      <alignment horizontal="left"/>
    </xf>
    <xf numFmtId="0" fontId="38" fillId="0" borderId="46" xfId="3" applyFont="1" applyBorder="1" applyAlignment="1">
      <alignment horizontal="center" vertical="center"/>
    </xf>
    <xf numFmtId="0" fontId="27" fillId="0" borderId="46" xfId="0" applyFont="1" applyBorder="1" applyAlignment="1">
      <alignment horizontal="center" vertical="center"/>
    </xf>
    <xf numFmtId="0" fontId="42" fillId="11" borderId="93" xfId="3" applyFont="1" applyFill="1" applyBorder="1" applyAlignment="1">
      <alignment horizontal="left"/>
    </xf>
    <xf numFmtId="0" fontId="42" fillId="11" borderId="80" xfId="3" applyFont="1" applyFill="1" applyBorder="1" applyAlignment="1">
      <alignment horizontal="left"/>
    </xf>
    <xf numFmtId="0" fontId="42" fillId="11" borderId="94" xfId="3" applyFont="1" applyFill="1" applyBorder="1" applyAlignment="1">
      <alignment horizontal="left"/>
    </xf>
    <xf numFmtId="167" fontId="29" fillId="0" borderId="47" xfId="3" applyNumberFormat="1" applyFont="1" applyBorder="1" applyAlignment="1">
      <alignment horizontal="right" vertical="center"/>
    </xf>
    <xf numFmtId="167" fontId="1" fillId="0" borderId="47" xfId="0" applyNumberFormat="1" applyFont="1" applyBorder="1" applyAlignment="1">
      <alignment horizontal="right" vertical="center"/>
    </xf>
    <xf numFmtId="167" fontId="29" fillId="0" borderId="57" xfId="3" applyNumberFormat="1" applyFont="1" applyBorder="1" applyAlignment="1">
      <alignment horizontal="right" vertical="center"/>
    </xf>
    <xf numFmtId="167" fontId="1" fillId="0" borderId="57" xfId="0" applyNumberFormat="1" applyFont="1" applyBorder="1" applyAlignment="1">
      <alignment horizontal="right" vertical="center"/>
    </xf>
    <xf numFmtId="0" fontId="29" fillId="11" borderId="9" xfId="3" applyFont="1" applyFill="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167" fontId="29" fillId="0" borderId="4" xfId="3" applyNumberFormat="1" applyFont="1" applyBorder="1" applyAlignment="1">
      <alignment horizontal="right" vertical="center"/>
    </xf>
    <xf numFmtId="167" fontId="1" fillId="0" borderId="4" xfId="0" applyNumberFormat="1" applyFont="1" applyBorder="1" applyAlignment="1">
      <alignment horizontal="right" vertical="center"/>
    </xf>
    <xf numFmtId="0" fontId="36" fillId="0" borderId="0" xfId="3" applyFont="1" applyAlignment="1">
      <alignment vertical="center"/>
    </xf>
    <xf numFmtId="0" fontId="42" fillId="0" borderId="0" xfId="3" applyFont="1" applyAlignment="1">
      <alignment vertical="center"/>
    </xf>
    <xf numFmtId="0" fontId="23" fillId="0" borderId="0" xfId="0" applyFont="1" applyAlignment="1">
      <alignment vertical="center"/>
    </xf>
    <xf numFmtId="0" fontId="23" fillId="0" borderId="0" xfId="0" applyFont="1" applyAlignment="1">
      <alignment horizontal="center" vertical="center"/>
    </xf>
    <xf numFmtId="49" fontId="23" fillId="0" borderId="0" xfId="0" applyNumberFormat="1" applyFont="1" applyAlignment="1">
      <alignment horizontal="left" vertical="center"/>
    </xf>
    <xf numFmtId="0" fontId="42" fillId="0" borderId="0" xfId="3" applyFont="1" applyAlignment="1">
      <alignment horizontal="right"/>
    </xf>
    <xf numFmtId="0" fontId="42" fillId="0" borderId="0" xfId="3" applyFont="1" applyAlignment="1">
      <alignment horizontal="left" indent="1"/>
    </xf>
    <xf numFmtId="0" fontId="42" fillId="0" borderId="0" xfId="3" applyFont="1" applyAlignment="1">
      <alignment horizontal="center" vertical="center"/>
    </xf>
    <xf numFmtId="0" fontId="0" fillId="0" borderId="75" xfId="0" applyBorder="1"/>
    <xf numFmtId="0" fontId="0" fillId="0" borderId="28" xfId="0" applyBorder="1"/>
    <xf numFmtId="0" fontId="0" fillId="0" borderId="76" xfId="0" applyBorder="1"/>
    <xf numFmtId="0" fontId="0" fillId="0" borderId="77" xfId="0" applyBorder="1"/>
    <xf numFmtId="0" fontId="0" fillId="0" borderId="25" xfId="0" applyBorder="1"/>
    <xf numFmtId="0" fontId="0" fillId="0" borderId="78" xfId="0" applyBorder="1"/>
    <xf numFmtId="0" fontId="0" fillId="0" borderId="15" xfId="0" applyBorder="1"/>
    <xf numFmtId="0" fontId="0" fillId="0" borderId="79" xfId="0" applyBorder="1"/>
    <xf numFmtId="49" fontId="29" fillId="0" borderId="0" xfId="6" applyFont="1" applyAlignment="1">
      <alignment horizontal="left"/>
    </xf>
    <xf numFmtId="0" fontId="35" fillId="0" borderId="0" xfId="3" applyFont="1" applyAlignment="1">
      <alignment horizontal="right"/>
    </xf>
    <xf numFmtId="49" fontId="38" fillId="0" borderId="10" xfId="3" applyNumberFormat="1" applyFont="1" applyBorder="1" applyAlignment="1">
      <alignment horizontal="center"/>
    </xf>
    <xf numFmtId="0" fontId="6"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0" fillId="7" borderId="0" xfId="0" applyFill="1" applyAlignment="1">
      <alignment horizontal="center"/>
    </xf>
    <xf numFmtId="0" fontId="0" fillId="7" borderId="10" xfId="0" applyFill="1" applyBorder="1" applyAlignment="1">
      <alignment horizontal="center"/>
    </xf>
    <xf numFmtId="0" fontId="0" fillId="0" borderId="7" xfId="0" applyBorder="1" applyAlignment="1">
      <alignment horizontal="right"/>
    </xf>
    <xf numFmtId="0" fontId="42" fillId="0" borderId="0" xfId="3" applyNumberFormat="1" applyFont="1" applyAlignment="1">
      <alignment horizontal="center" vertical="center"/>
    </xf>
    <xf numFmtId="0" fontId="38" fillId="0" borderId="10" xfId="3" applyNumberFormat="1" applyFont="1" applyBorder="1" applyAlignment="1">
      <alignment horizontal="left"/>
    </xf>
  </cellXfs>
  <cellStyles count="16">
    <cellStyle name="Dezimal_Absch Anl 3 selbstre" xfId="7" xr:uid="{00000000-0005-0000-0000-000000000000}"/>
    <cellStyle name="Neu" xfId="4" xr:uid="{00000000-0005-0000-0000-000001000000}"/>
    <cellStyle name="Prozent" xfId="2" builtinId="5"/>
    <cellStyle name="Prozent 2" xfId="9" xr:uid="{00000000-0005-0000-0000-000003000000}"/>
    <cellStyle name="Standard" xfId="0" builtinId="0"/>
    <cellStyle name="Standard 2" xfId="3" xr:uid="{00000000-0005-0000-0000-000005000000}"/>
    <cellStyle name="Standard_Absch Anl 3 selbstre" xfId="6" xr:uid="{00000000-0005-0000-0000-000006000000}"/>
    <cellStyle name="Währung" xfId="1" builtinId="4"/>
    <cellStyle name="Währung 2" xfId="5" xr:uid="{00000000-0005-0000-0000-000008000000}"/>
    <cellStyle name="Währung 2 2" xfId="8" xr:uid="{00000000-0005-0000-0000-000009000000}"/>
    <cellStyle name="Währung 2 2 2" xfId="11" xr:uid="{E5279C42-C16E-486E-8A43-3305B15AC7CB}"/>
    <cellStyle name="Währung 2 2 2 2" xfId="15" xr:uid="{E8F0C28B-2784-40F8-8659-BB76C2813238}"/>
    <cellStyle name="Währung 2 2 3" xfId="13" xr:uid="{86BFA88D-4D9A-4FE7-92FB-3251A54B9529}"/>
    <cellStyle name="Währung 3" xfId="10" xr:uid="{28E46CAB-A69A-4522-9D30-2730E625B834}"/>
    <cellStyle name="Währung 3 2" xfId="14" xr:uid="{39BC942E-EF06-46D2-BE9E-559E4B1740BB}"/>
    <cellStyle name="Währung 4" xfId="12" xr:uid="{A87AF1B8-1AC0-4C94-9DBC-998667FC24A7}"/>
  </cellStyles>
  <dxfs count="0"/>
  <tableStyles count="0" defaultTableStyle="TableStyleMedium9" defaultPivotStyle="PivotStyleLight16"/>
  <colors>
    <mruColors>
      <color rgb="FFFF330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4</xdr:row>
          <xdr:rowOff>133350</xdr:rowOff>
        </xdr:from>
        <xdr:to>
          <xdr:col>3</xdr:col>
          <xdr:colOff>314325</xdr:colOff>
          <xdr:row>6</xdr:row>
          <xdr:rowOff>28575</xdr:rowOff>
        </xdr:to>
        <xdr:sp macro="" textlink="">
          <xdr:nvSpPr>
            <xdr:cNvPr id="49160" name="Check Box 3" hidden="1">
              <a:extLst>
                <a:ext uri="{63B3BB69-23CF-44E3-9099-C40C66FF867C}">
                  <a14:compatExt spid="_x0000_s49160"/>
                </a:ext>
                <a:ext uri="{FF2B5EF4-FFF2-40B4-BE49-F238E27FC236}">
                  <a16:creationId xmlns:a16="http://schemas.microsoft.com/office/drawing/2014/main" id="{00000000-0008-0000-0300-00000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5</xdr:row>
          <xdr:rowOff>171450</xdr:rowOff>
        </xdr:from>
        <xdr:to>
          <xdr:col>3</xdr:col>
          <xdr:colOff>200025</xdr:colOff>
          <xdr:row>6</xdr:row>
          <xdr:rowOff>171450</xdr:rowOff>
        </xdr:to>
        <xdr:sp macro="" textlink="">
          <xdr:nvSpPr>
            <xdr:cNvPr id="49162" name="Check Box 3" hidden="1">
              <a:extLst>
                <a:ext uri="{63B3BB69-23CF-44E3-9099-C40C66FF867C}">
                  <a14:compatExt spid="_x0000_s49162"/>
                </a:ext>
                <a:ext uri="{FF2B5EF4-FFF2-40B4-BE49-F238E27FC236}">
                  <a16:creationId xmlns:a16="http://schemas.microsoft.com/office/drawing/2014/main" id="{00000000-0008-0000-0300-00000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xdr:row>
          <xdr:rowOff>133350</xdr:rowOff>
        </xdr:from>
        <xdr:to>
          <xdr:col>2</xdr:col>
          <xdr:colOff>104775</xdr:colOff>
          <xdr:row>6</xdr:row>
          <xdr:rowOff>28575</xdr:rowOff>
        </xdr:to>
        <xdr:sp macro="" textlink="">
          <xdr:nvSpPr>
            <xdr:cNvPr id="49164" name="Check Box 3" hidden="1">
              <a:extLst>
                <a:ext uri="{63B3BB69-23CF-44E3-9099-C40C66FF867C}">
                  <a14:compatExt spid="_x0000_s49164"/>
                </a:ext>
                <a:ext uri="{FF2B5EF4-FFF2-40B4-BE49-F238E27FC236}">
                  <a16:creationId xmlns:a16="http://schemas.microsoft.com/office/drawing/2014/main" id="{00000000-0008-0000-0300-00000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133350</xdr:rowOff>
        </xdr:from>
        <xdr:to>
          <xdr:col>2</xdr:col>
          <xdr:colOff>104775</xdr:colOff>
          <xdr:row>9</xdr:row>
          <xdr:rowOff>28575</xdr:rowOff>
        </xdr:to>
        <xdr:sp macro="" textlink="">
          <xdr:nvSpPr>
            <xdr:cNvPr id="49165" name="Check Box 3" hidden="1">
              <a:extLst>
                <a:ext uri="{63B3BB69-23CF-44E3-9099-C40C66FF867C}">
                  <a14:compatExt spid="_x0000_s49165"/>
                </a:ext>
                <a:ext uri="{FF2B5EF4-FFF2-40B4-BE49-F238E27FC236}">
                  <a16:creationId xmlns:a16="http://schemas.microsoft.com/office/drawing/2014/main" id="{00000000-0008-0000-0300-00000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66" name="Check Box 3" hidden="1">
              <a:extLst>
                <a:ext uri="{63B3BB69-23CF-44E3-9099-C40C66FF867C}">
                  <a14:compatExt spid="_x0000_s49166"/>
                </a:ext>
                <a:ext uri="{FF2B5EF4-FFF2-40B4-BE49-F238E27FC236}">
                  <a16:creationId xmlns:a16="http://schemas.microsoft.com/office/drawing/2014/main" id="{00000000-0008-0000-0300-00000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5</xdr:row>
          <xdr:rowOff>133350</xdr:rowOff>
        </xdr:from>
        <xdr:to>
          <xdr:col>2</xdr:col>
          <xdr:colOff>104775</xdr:colOff>
          <xdr:row>7</xdr:row>
          <xdr:rowOff>38100</xdr:rowOff>
        </xdr:to>
        <xdr:sp macro="" textlink="">
          <xdr:nvSpPr>
            <xdr:cNvPr id="49167" name="Check Box 3" hidden="1">
              <a:extLst>
                <a:ext uri="{63B3BB69-23CF-44E3-9099-C40C66FF867C}">
                  <a14:compatExt spid="_x0000_s49167"/>
                </a:ext>
                <a:ext uri="{FF2B5EF4-FFF2-40B4-BE49-F238E27FC236}">
                  <a16:creationId xmlns:a16="http://schemas.microsoft.com/office/drawing/2014/main" id="{00000000-0008-0000-0300-00000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10</xdr:row>
          <xdr:rowOff>152400</xdr:rowOff>
        </xdr:from>
        <xdr:to>
          <xdr:col>3</xdr:col>
          <xdr:colOff>361950</xdr:colOff>
          <xdr:row>12</xdr:row>
          <xdr:rowOff>47625</xdr:rowOff>
        </xdr:to>
        <xdr:sp macro="" textlink="">
          <xdr:nvSpPr>
            <xdr:cNvPr id="49168" name="Check Box 3" hidden="1">
              <a:extLst>
                <a:ext uri="{63B3BB69-23CF-44E3-9099-C40C66FF867C}">
                  <a14:compatExt spid="_x0000_s49168"/>
                </a:ext>
                <a:ext uri="{FF2B5EF4-FFF2-40B4-BE49-F238E27FC236}">
                  <a16:creationId xmlns:a16="http://schemas.microsoft.com/office/drawing/2014/main" id="{00000000-0008-0000-0300-00001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70" name="Check Box 3" hidden="1">
              <a:extLst>
                <a:ext uri="{63B3BB69-23CF-44E3-9099-C40C66FF867C}">
                  <a14:compatExt spid="_x0000_s49170"/>
                </a:ext>
                <a:ext uri="{FF2B5EF4-FFF2-40B4-BE49-F238E27FC236}">
                  <a16:creationId xmlns:a16="http://schemas.microsoft.com/office/drawing/2014/main" id="{00000000-0008-0000-0300-00001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xdr:row>
          <xdr:rowOff>161925</xdr:rowOff>
        </xdr:from>
        <xdr:to>
          <xdr:col>2</xdr:col>
          <xdr:colOff>104775</xdr:colOff>
          <xdr:row>5</xdr:row>
          <xdr:rowOff>57150</xdr:rowOff>
        </xdr:to>
        <xdr:sp macro="" textlink="">
          <xdr:nvSpPr>
            <xdr:cNvPr id="49172" name="Check Box 3" hidden="1">
              <a:extLst>
                <a:ext uri="{63B3BB69-23CF-44E3-9099-C40C66FF867C}">
                  <a14:compatExt spid="_x0000_s49172"/>
                </a:ext>
                <a:ext uri="{FF2B5EF4-FFF2-40B4-BE49-F238E27FC236}">
                  <a16:creationId xmlns:a16="http://schemas.microsoft.com/office/drawing/2014/main" id="{00000000-0008-0000-0300-00001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133350</xdr:rowOff>
        </xdr:from>
        <xdr:to>
          <xdr:col>2</xdr:col>
          <xdr:colOff>104775</xdr:colOff>
          <xdr:row>10</xdr:row>
          <xdr:rowOff>28575</xdr:rowOff>
        </xdr:to>
        <xdr:sp macro="" textlink="">
          <xdr:nvSpPr>
            <xdr:cNvPr id="49174" name="Check Box 3" hidden="1">
              <a:extLst>
                <a:ext uri="{63B3BB69-23CF-44E3-9099-C40C66FF867C}">
                  <a14:compatExt spid="_x0000_s49174"/>
                </a:ext>
                <a:ext uri="{FF2B5EF4-FFF2-40B4-BE49-F238E27FC236}">
                  <a16:creationId xmlns:a16="http://schemas.microsoft.com/office/drawing/2014/main" id="{00000000-0008-0000-0300-00001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123825</xdr:rowOff>
        </xdr:from>
        <xdr:to>
          <xdr:col>2</xdr:col>
          <xdr:colOff>104775</xdr:colOff>
          <xdr:row>11</xdr:row>
          <xdr:rowOff>28575</xdr:rowOff>
        </xdr:to>
        <xdr:sp macro="" textlink="">
          <xdr:nvSpPr>
            <xdr:cNvPr id="49176" name="Check Box 3" hidden="1">
              <a:extLst>
                <a:ext uri="{63B3BB69-23CF-44E3-9099-C40C66FF867C}">
                  <a14:compatExt spid="_x0000_s49176"/>
                </a:ext>
                <a:ext uri="{FF2B5EF4-FFF2-40B4-BE49-F238E27FC236}">
                  <a16:creationId xmlns:a16="http://schemas.microsoft.com/office/drawing/2014/main" id="{00000000-0008-0000-0300-00001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6</xdr:row>
          <xdr:rowOff>133350</xdr:rowOff>
        </xdr:from>
        <xdr:to>
          <xdr:col>3</xdr:col>
          <xdr:colOff>314325</xdr:colOff>
          <xdr:row>8</xdr:row>
          <xdr:rowOff>28575</xdr:rowOff>
        </xdr:to>
        <xdr:sp macro="" textlink="">
          <xdr:nvSpPr>
            <xdr:cNvPr id="49180" name="Check Box 3" hidden="1">
              <a:extLst>
                <a:ext uri="{63B3BB69-23CF-44E3-9099-C40C66FF867C}">
                  <a14:compatExt spid="_x0000_s49180"/>
                </a:ext>
                <a:ext uri="{FF2B5EF4-FFF2-40B4-BE49-F238E27FC236}">
                  <a16:creationId xmlns:a16="http://schemas.microsoft.com/office/drawing/2014/main" id="{00000000-0008-0000-0300-00001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8</xdr:row>
          <xdr:rowOff>152400</xdr:rowOff>
        </xdr:from>
        <xdr:to>
          <xdr:col>3</xdr:col>
          <xdr:colOff>314325</xdr:colOff>
          <xdr:row>10</xdr:row>
          <xdr:rowOff>57150</xdr:rowOff>
        </xdr:to>
        <xdr:sp macro="" textlink="">
          <xdr:nvSpPr>
            <xdr:cNvPr id="49182" name="Check Box 3" hidden="1">
              <a:extLst>
                <a:ext uri="{63B3BB69-23CF-44E3-9099-C40C66FF867C}">
                  <a14:compatExt spid="_x0000_s49182"/>
                </a:ext>
                <a:ext uri="{FF2B5EF4-FFF2-40B4-BE49-F238E27FC236}">
                  <a16:creationId xmlns:a16="http://schemas.microsoft.com/office/drawing/2014/main" id="{00000000-0008-0000-0300-00001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7</xdr:row>
          <xdr:rowOff>133350</xdr:rowOff>
        </xdr:from>
        <xdr:to>
          <xdr:col>3</xdr:col>
          <xdr:colOff>314325</xdr:colOff>
          <xdr:row>9</xdr:row>
          <xdr:rowOff>38100</xdr:rowOff>
        </xdr:to>
        <xdr:sp macro="" textlink="">
          <xdr:nvSpPr>
            <xdr:cNvPr id="49183" name="Check Box 3" hidden="1">
              <a:extLst>
                <a:ext uri="{63B3BB69-23CF-44E3-9099-C40C66FF867C}">
                  <a14:compatExt spid="_x0000_s49183"/>
                </a:ext>
                <a:ext uri="{FF2B5EF4-FFF2-40B4-BE49-F238E27FC236}">
                  <a16:creationId xmlns:a16="http://schemas.microsoft.com/office/drawing/2014/main" id="{00000000-0008-0000-0300-00001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11</xdr:row>
          <xdr:rowOff>152400</xdr:rowOff>
        </xdr:from>
        <xdr:to>
          <xdr:col>3</xdr:col>
          <xdr:colOff>314325</xdr:colOff>
          <xdr:row>13</xdr:row>
          <xdr:rowOff>47625</xdr:rowOff>
        </xdr:to>
        <xdr:sp macro="" textlink="">
          <xdr:nvSpPr>
            <xdr:cNvPr id="49189" name="Check Box 3" hidden="1">
              <a:extLst>
                <a:ext uri="{63B3BB69-23CF-44E3-9099-C40C66FF867C}">
                  <a14:compatExt spid="_x0000_s49189"/>
                </a:ext>
                <a:ext uri="{FF2B5EF4-FFF2-40B4-BE49-F238E27FC236}">
                  <a16:creationId xmlns:a16="http://schemas.microsoft.com/office/drawing/2014/main" id="{00000000-0008-0000-0300-00002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12</xdr:row>
          <xdr:rowOff>133350</xdr:rowOff>
        </xdr:from>
        <xdr:to>
          <xdr:col>3</xdr:col>
          <xdr:colOff>314325</xdr:colOff>
          <xdr:row>14</xdr:row>
          <xdr:rowOff>38100</xdr:rowOff>
        </xdr:to>
        <xdr:sp macro="" textlink="">
          <xdr:nvSpPr>
            <xdr:cNvPr id="49192" name="Check Box 3" hidden="1">
              <a:extLst>
                <a:ext uri="{63B3BB69-23CF-44E3-9099-C40C66FF867C}">
                  <a14:compatExt spid="_x0000_s49192"/>
                </a:ext>
                <a:ext uri="{FF2B5EF4-FFF2-40B4-BE49-F238E27FC236}">
                  <a16:creationId xmlns:a16="http://schemas.microsoft.com/office/drawing/2014/main" id="{00000000-0008-0000-0300-00002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xdr:row>
          <xdr:rowOff>133350</xdr:rowOff>
        </xdr:from>
        <xdr:to>
          <xdr:col>3</xdr:col>
          <xdr:colOff>314325</xdr:colOff>
          <xdr:row>11</xdr:row>
          <xdr:rowOff>28575</xdr:rowOff>
        </xdr:to>
        <xdr:sp macro="" textlink="">
          <xdr:nvSpPr>
            <xdr:cNvPr id="49194" name="Check Box 3" hidden="1">
              <a:extLst>
                <a:ext uri="{63B3BB69-23CF-44E3-9099-C40C66FF867C}">
                  <a14:compatExt spid="_x0000_s49194"/>
                </a:ext>
                <a:ext uri="{FF2B5EF4-FFF2-40B4-BE49-F238E27FC236}">
                  <a16:creationId xmlns:a16="http://schemas.microsoft.com/office/drawing/2014/main" id="{00000000-0008-0000-0300-00002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133350</xdr:rowOff>
        </xdr:from>
        <xdr:to>
          <xdr:col>3</xdr:col>
          <xdr:colOff>314325</xdr:colOff>
          <xdr:row>15</xdr:row>
          <xdr:rowOff>28575</xdr:rowOff>
        </xdr:to>
        <xdr:sp macro="" textlink="">
          <xdr:nvSpPr>
            <xdr:cNvPr id="49196" name="Check Box 3" hidden="1">
              <a:extLst>
                <a:ext uri="{63B3BB69-23CF-44E3-9099-C40C66FF867C}">
                  <a14:compatExt spid="_x0000_s49196"/>
                </a:ext>
                <a:ext uri="{FF2B5EF4-FFF2-40B4-BE49-F238E27FC236}">
                  <a16:creationId xmlns:a16="http://schemas.microsoft.com/office/drawing/2014/main" id="{00000000-0008-0000-0300-00002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19050</xdr:rowOff>
        </xdr:from>
        <xdr:to>
          <xdr:col>3</xdr:col>
          <xdr:colOff>314325</xdr:colOff>
          <xdr:row>16</xdr:row>
          <xdr:rowOff>38100</xdr:rowOff>
        </xdr:to>
        <xdr:sp macro="" textlink="">
          <xdr:nvSpPr>
            <xdr:cNvPr id="49197" name="Check Box 3" hidden="1">
              <a:extLst>
                <a:ext uri="{63B3BB69-23CF-44E3-9099-C40C66FF867C}">
                  <a14:compatExt spid="_x0000_s49197"/>
                </a:ext>
                <a:ext uri="{FF2B5EF4-FFF2-40B4-BE49-F238E27FC236}">
                  <a16:creationId xmlns:a16="http://schemas.microsoft.com/office/drawing/2014/main" id="{00000000-0008-0000-0300-00002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16</xdr:row>
          <xdr:rowOff>133350</xdr:rowOff>
        </xdr:from>
        <xdr:to>
          <xdr:col>3</xdr:col>
          <xdr:colOff>314325</xdr:colOff>
          <xdr:row>18</xdr:row>
          <xdr:rowOff>38100</xdr:rowOff>
        </xdr:to>
        <xdr:sp macro="" textlink="">
          <xdr:nvSpPr>
            <xdr:cNvPr id="49199" name="Check Box 3" hidden="1">
              <a:extLst>
                <a:ext uri="{63B3BB69-23CF-44E3-9099-C40C66FF867C}">
                  <a14:compatExt spid="_x0000_s49199"/>
                </a:ext>
                <a:ext uri="{FF2B5EF4-FFF2-40B4-BE49-F238E27FC236}">
                  <a16:creationId xmlns:a16="http://schemas.microsoft.com/office/drawing/2014/main" id="{00000000-0008-0000-0300-00002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142875</xdr:rowOff>
        </xdr:from>
        <xdr:to>
          <xdr:col>3</xdr:col>
          <xdr:colOff>314325</xdr:colOff>
          <xdr:row>17</xdr:row>
          <xdr:rowOff>47625</xdr:rowOff>
        </xdr:to>
        <xdr:sp macro="" textlink="">
          <xdr:nvSpPr>
            <xdr:cNvPr id="49201" name="Check Box 3" hidden="1">
              <a:extLst>
                <a:ext uri="{63B3BB69-23CF-44E3-9099-C40C66FF867C}">
                  <a14:compatExt spid="_x0000_s49201"/>
                </a:ext>
                <a:ext uri="{FF2B5EF4-FFF2-40B4-BE49-F238E27FC236}">
                  <a16:creationId xmlns:a16="http://schemas.microsoft.com/office/drawing/2014/main" id="{00000000-0008-0000-0300-00003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18</xdr:row>
          <xdr:rowOff>133350</xdr:rowOff>
        </xdr:from>
        <xdr:to>
          <xdr:col>3</xdr:col>
          <xdr:colOff>314325</xdr:colOff>
          <xdr:row>20</xdr:row>
          <xdr:rowOff>28575</xdr:rowOff>
        </xdr:to>
        <xdr:sp macro="" textlink="">
          <xdr:nvSpPr>
            <xdr:cNvPr id="49202" name="Check Box 3" hidden="1">
              <a:extLst>
                <a:ext uri="{63B3BB69-23CF-44E3-9099-C40C66FF867C}">
                  <a14:compatExt spid="_x0000_s49202"/>
                </a:ext>
                <a:ext uri="{FF2B5EF4-FFF2-40B4-BE49-F238E27FC236}">
                  <a16:creationId xmlns:a16="http://schemas.microsoft.com/office/drawing/2014/main" id="{00000000-0008-0000-0300-00003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20</xdr:row>
          <xdr:rowOff>142875</xdr:rowOff>
        </xdr:from>
        <xdr:to>
          <xdr:col>3</xdr:col>
          <xdr:colOff>314325</xdr:colOff>
          <xdr:row>22</xdr:row>
          <xdr:rowOff>47625</xdr:rowOff>
        </xdr:to>
        <xdr:sp macro="" textlink="">
          <xdr:nvSpPr>
            <xdr:cNvPr id="49204" name="Check Box 3" hidden="1">
              <a:extLst>
                <a:ext uri="{63B3BB69-23CF-44E3-9099-C40C66FF867C}">
                  <a14:compatExt spid="_x0000_s49204"/>
                </a:ext>
                <a:ext uri="{FF2B5EF4-FFF2-40B4-BE49-F238E27FC236}">
                  <a16:creationId xmlns:a16="http://schemas.microsoft.com/office/drawing/2014/main" id="{00000000-0008-0000-0300-00003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19</xdr:row>
          <xdr:rowOff>142875</xdr:rowOff>
        </xdr:from>
        <xdr:to>
          <xdr:col>3</xdr:col>
          <xdr:colOff>314325</xdr:colOff>
          <xdr:row>21</xdr:row>
          <xdr:rowOff>38100</xdr:rowOff>
        </xdr:to>
        <xdr:sp macro="" textlink="">
          <xdr:nvSpPr>
            <xdr:cNvPr id="49206" name="Check Box 3" hidden="1">
              <a:extLst>
                <a:ext uri="{63B3BB69-23CF-44E3-9099-C40C66FF867C}">
                  <a14:compatExt spid="_x0000_s49206"/>
                </a:ext>
                <a:ext uri="{FF2B5EF4-FFF2-40B4-BE49-F238E27FC236}">
                  <a16:creationId xmlns:a16="http://schemas.microsoft.com/office/drawing/2014/main" id="{00000000-0008-0000-0300-00003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17</xdr:row>
          <xdr:rowOff>123825</xdr:rowOff>
        </xdr:from>
        <xdr:to>
          <xdr:col>3</xdr:col>
          <xdr:colOff>314325</xdr:colOff>
          <xdr:row>19</xdr:row>
          <xdr:rowOff>19050</xdr:rowOff>
        </xdr:to>
        <xdr:sp macro="" textlink="">
          <xdr:nvSpPr>
            <xdr:cNvPr id="49208" name="Check Box 3" hidden="1">
              <a:extLst>
                <a:ext uri="{63B3BB69-23CF-44E3-9099-C40C66FF867C}">
                  <a14:compatExt spid="_x0000_s49208"/>
                </a:ext>
                <a:ext uri="{FF2B5EF4-FFF2-40B4-BE49-F238E27FC236}">
                  <a16:creationId xmlns:a16="http://schemas.microsoft.com/office/drawing/2014/main" id="{00000000-0008-0000-0300-00003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21</xdr:row>
          <xdr:rowOff>142875</xdr:rowOff>
        </xdr:from>
        <xdr:to>
          <xdr:col>3</xdr:col>
          <xdr:colOff>314325</xdr:colOff>
          <xdr:row>23</xdr:row>
          <xdr:rowOff>38100</xdr:rowOff>
        </xdr:to>
        <xdr:sp macro="" textlink="">
          <xdr:nvSpPr>
            <xdr:cNvPr id="49213" name="Check Box 3" hidden="1">
              <a:extLst>
                <a:ext uri="{63B3BB69-23CF-44E3-9099-C40C66FF867C}">
                  <a14:compatExt spid="_x0000_s49213"/>
                </a:ext>
                <a:ext uri="{FF2B5EF4-FFF2-40B4-BE49-F238E27FC236}">
                  <a16:creationId xmlns:a16="http://schemas.microsoft.com/office/drawing/2014/main" id="{00000000-0008-0000-0300-00003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24</xdr:row>
          <xdr:rowOff>133350</xdr:rowOff>
        </xdr:from>
        <xdr:to>
          <xdr:col>3</xdr:col>
          <xdr:colOff>314325</xdr:colOff>
          <xdr:row>26</xdr:row>
          <xdr:rowOff>28575</xdr:rowOff>
        </xdr:to>
        <xdr:sp macro="" textlink="">
          <xdr:nvSpPr>
            <xdr:cNvPr id="49214" name="Check Box 3" hidden="1">
              <a:extLst>
                <a:ext uri="{63B3BB69-23CF-44E3-9099-C40C66FF867C}">
                  <a14:compatExt spid="_x0000_s49214"/>
                </a:ext>
                <a:ext uri="{FF2B5EF4-FFF2-40B4-BE49-F238E27FC236}">
                  <a16:creationId xmlns:a16="http://schemas.microsoft.com/office/drawing/2014/main" id="{00000000-0008-0000-0300-00003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22</xdr:row>
          <xdr:rowOff>142875</xdr:rowOff>
        </xdr:from>
        <xdr:to>
          <xdr:col>3</xdr:col>
          <xdr:colOff>304800</xdr:colOff>
          <xdr:row>24</xdr:row>
          <xdr:rowOff>38100</xdr:rowOff>
        </xdr:to>
        <xdr:sp macro="" textlink="">
          <xdr:nvSpPr>
            <xdr:cNvPr id="49216" name="Check Box 3" hidden="1">
              <a:extLst>
                <a:ext uri="{63B3BB69-23CF-44E3-9099-C40C66FF867C}">
                  <a14:compatExt spid="_x0000_s49216"/>
                </a:ext>
                <a:ext uri="{FF2B5EF4-FFF2-40B4-BE49-F238E27FC236}">
                  <a16:creationId xmlns:a16="http://schemas.microsoft.com/office/drawing/2014/main" id="{00000000-0008-0000-0300-00004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26</xdr:row>
          <xdr:rowOff>152400</xdr:rowOff>
        </xdr:from>
        <xdr:to>
          <xdr:col>3</xdr:col>
          <xdr:colOff>314325</xdr:colOff>
          <xdr:row>28</xdr:row>
          <xdr:rowOff>47625</xdr:rowOff>
        </xdr:to>
        <xdr:sp macro="" textlink="">
          <xdr:nvSpPr>
            <xdr:cNvPr id="49217" name="Check Box 3" hidden="1">
              <a:extLst>
                <a:ext uri="{63B3BB69-23CF-44E3-9099-C40C66FF867C}">
                  <a14:compatExt spid="_x0000_s49217"/>
                </a:ext>
                <a:ext uri="{FF2B5EF4-FFF2-40B4-BE49-F238E27FC236}">
                  <a16:creationId xmlns:a16="http://schemas.microsoft.com/office/drawing/2014/main" id="{00000000-0008-0000-0300-00004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23</xdr:row>
          <xdr:rowOff>133350</xdr:rowOff>
        </xdr:from>
        <xdr:to>
          <xdr:col>3</xdr:col>
          <xdr:colOff>314325</xdr:colOff>
          <xdr:row>25</xdr:row>
          <xdr:rowOff>28575</xdr:rowOff>
        </xdr:to>
        <xdr:sp macro="" textlink="">
          <xdr:nvSpPr>
            <xdr:cNvPr id="49220" name="Check Box 3" hidden="1">
              <a:extLst>
                <a:ext uri="{63B3BB69-23CF-44E3-9099-C40C66FF867C}">
                  <a14:compatExt spid="_x0000_s49220"/>
                </a:ext>
                <a:ext uri="{FF2B5EF4-FFF2-40B4-BE49-F238E27FC236}">
                  <a16:creationId xmlns:a16="http://schemas.microsoft.com/office/drawing/2014/main" id="{00000000-0008-0000-0300-00004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28</xdr:row>
          <xdr:rowOff>133350</xdr:rowOff>
        </xdr:from>
        <xdr:to>
          <xdr:col>3</xdr:col>
          <xdr:colOff>314325</xdr:colOff>
          <xdr:row>30</xdr:row>
          <xdr:rowOff>28575</xdr:rowOff>
        </xdr:to>
        <xdr:sp macro="" textlink="">
          <xdr:nvSpPr>
            <xdr:cNvPr id="49222" name="Check Box 3" hidden="1">
              <a:extLst>
                <a:ext uri="{63B3BB69-23CF-44E3-9099-C40C66FF867C}">
                  <a14:compatExt spid="_x0000_s49222"/>
                </a:ext>
                <a:ext uri="{FF2B5EF4-FFF2-40B4-BE49-F238E27FC236}">
                  <a16:creationId xmlns:a16="http://schemas.microsoft.com/office/drawing/2014/main" id="{00000000-0008-0000-0300-00004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27</xdr:row>
          <xdr:rowOff>133350</xdr:rowOff>
        </xdr:from>
        <xdr:to>
          <xdr:col>3</xdr:col>
          <xdr:colOff>314325</xdr:colOff>
          <xdr:row>29</xdr:row>
          <xdr:rowOff>38100</xdr:rowOff>
        </xdr:to>
        <xdr:sp macro="" textlink="">
          <xdr:nvSpPr>
            <xdr:cNvPr id="49225" name="Check Box 3" hidden="1">
              <a:extLst>
                <a:ext uri="{63B3BB69-23CF-44E3-9099-C40C66FF867C}">
                  <a14:compatExt spid="_x0000_s49225"/>
                </a:ext>
                <a:ext uri="{FF2B5EF4-FFF2-40B4-BE49-F238E27FC236}">
                  <a16:creationId xmlns:a16="http://schemas.microsoft.com/office/drawing/2014/main" id="{00000000-0008-0000-0300-00004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30</xdr:row>
          <xdr:rowOff>133350</xdr:rowOff>
        </xdr:from>
        <xdr:to>
          <xdr:col>3</xdr:col>
          <xdr:colOff>314325</xdr:colOff>
          <xdr:row>32</xdr:row>
          <xdr:rowOff>28575</xdr:rowOff>
        </xdr:to>
        <xdr:sp macro="" textlink="">
          <xdr:nvSpPr>
            <xdr:cNvPr id="49227" name="Check Box 3" hidden="1">
              <a:extLst>
                <a:ext uri="{63B3BB69-23CF-44E3-9099-C40C66FF867C}">
                  <a14:compatExt spid="_x0000_s49227"/>
                </a:ext>
                <a:ext uri="{FF2B5EF4-FFF2-40B4-BE49-F238E27FC236}">
                  <a16:creationId xmlns:a16="http://schemas.microsoft.com/office/drawing/2014/main" id="{00000000-0008-0000-0300-00004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29</xdr:row>
          <xdr:rowOff>133350</xdr:rowOff>
        </xdr:from>
        <xdr:to>
          <xdr:col>3</xdr:col>
          <xdr:colOff>314325</xdr:colOff>
          <xdr:row>31</xdr:row>
          <xdr:rowOff>28575</xdr:rowOff>
        </xdr:to>
        <xdr:sp macro="" textlink="">
          <xdr:nvSpPr>
            <xdr:cNvPr id="49229" name="Check Box 3" hidden="1">
              <a:extLst>
                <a:ext uri="{63B3BB69-23CF-44E3-9099-C40C66FF867C}">
                  <a14:compatExt spid="_x0000_s49229"/>
                </a:ext>
                <a:ext uri="{FF2B5EF4-FFF2-40B4-BE49-F238E27FC236}">
                  <a16:creationId xmlns:a16="http://schemas.microsoft.com/office/drawing/2014/main" id="{00000000-0008-0000-0300-00004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32</xdr:row>
          <xdr:rowOff>142875</xdr:rowOff>
        </xdr:from>
        <xdr:to>
          <xdr:col>3</xdr:col>
          <xdr:colOff>314325</xdr:colOff>
          <xdr:row>34</xdr:row>
          <xdr:rowOff>38100</xdr:rowOff>
        </xdr:to>
        <xdr:sp macro="" textlink="">
          <xdr:nvSpPr>
            <xdr:cNvPr id="49231" name="Check Box 3" hidden="1">
              <a:extLst>
                <a:ext uri="{63B3BB69-23CF-44E3-9099-C40C66FF867C}">
                  <a14:compatExt spid="_x0000_s49231"/>
                </a:ext>
                <a:ext uri="{FF2B5EF4-FFF2-40B4-BE49-F238E27FC236}">
                  <a16:creationId xmlns:a16="http://schemas.microsoft.com/office/drawing/2014/main" id="{00000000-0008-0000-0300-00004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33</xdr:row>
          <xdr:rowOff>133350</xdr:rowOff>
        </xdr:from>
        <xdr:to>
          <xdr:col>3</xdr:col>
          <xdr:colOff>314325</xdr:colOff>
          <xdr:row>35</xdr:row>
          <xdr:rowOff>38100</xdr:rowOff>
        </xdr:to>
        <xdr:sp macro="" textlink="">
          <xdr:nvSpPr>
            <xdr:cNvPr id="49233" name="Check Box 3" hidden="1">
              <a:extLst>
                <a:ext uri="{63B3BB69-23CF-44E3-9099-C40C66FF867C}">
                  <a14:compatExt spid="_x0000_s49233"/>
                </a:ext>
                <a:ext uri="{FF2B5EF4-FFF2-40B4-BE49-F238E27FC236}">
                  <a16:creationId xmlns:a16="http://schemas.microsoft.com/office/drawing/2014/main" id="{00000000-0008-0000-0300-00005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34</xdr:row>
          <xdr:rowOff>133350</xdr:rowOff>
        </xdr:from>
        <xdr:to>
          <xdr:col>3</xdr:col>
          <xdr:colOff>314325</xdr:colOff>
          <xdr:row>36</xdr:row>
          <xdr:rowOff>38100</xdr:rowOff>
        </xdr:to>
        <xdr:sp macro="" textlink="">
          <xdr:nvSpPr>
            <xdr:cNvPr id="49235" name="Check Box 3" hidden="1">
              <a:extLst>
                <a:ext uri="{63B3BB69-23CF-44E3-9099-C40C66FF867C}">
                  <a14:compatExt spid="_x0000_s49235"/>
                </a:ext>
                <a:ext uri="{FF2B5EF4-FFF2-40B4-BE49-F238E27FC236}">
                  <a16:creationId xmlns:a16="http://schemas.microsoft.com/office/drawing/2014/main" id="{00000000-0008-0000-0300-00005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36</xdr:row>
          <xdr:rowOff>76200</xdr:rowOff>
        </xdr:from>
        <xdr:to>
          <xdr:col>3</xdr:col>
          <xdr:colOff>314325</xdr:colOff>
          <xdr:row>38</xdr:row>
          <xdr:rowOff>76200</xdr:rowOff>
        </xdr:to>
        <xdr:sp macro="" textlink="">
          <xdr:nvSpPr>
            <xdr:cNvPr id="49237" name="Check Box 3" hidden="1">
              <a:extLst>
                <a:ext uri="{63B3BB69-23CF-44E3-9099-C40C66FF867C}">
                  <a14:compatExt spid="_x0000_s49237"/>
                </a:ext>
                <a:ext uri="{FF2B5EF4-FFF2-40B4-BE49-F238E27FC236}">
                  <a16:creationId xmlns:a16="http://schemas.microsoft.com/office/drawing/2014/main" id="{00000000-0008-0000-0300-00005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35</xdr:row>
          <xdr:rowOff>142875</xdr:rowOff>
        </xdr:from>
        <xdr:to>
          <xdr:col>3</xdr:col>
          <xdr:colOff>323850</xdr:colOff>
          <xdr:row>37</xdr:row>
          <xdr:rowOff>47625</xdr:rowOff>
        </xdr:to>
        <xdr:sp macro="" textlink="">
          <xdr:nvSpPr>
            <xdr:cNvPr id="49239" name="Check Box 3" hidden="1">
              <a:extLst>
                <a:ext uri="{63B3BB69-23CF-44E3-9099-C40C66FF867C}">
                  <a14:compatExt spid="_x0000_s49239"/>
                </a:ext>
                <a:ext uri="{FF2B5EF4-FFF2-40B4-BE49-F238E27FC236}">
                  <a16:creationId xmlns:a16="http://schemas.microsoft.com/office/drawing/2014/main" id="{00000000-0008-0000-0300-00005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37</xdr:row>
          <xdr:rowOff>133350</xdr:rowOff>
        </xdr:from>
        <xdr:to>
          <xdr:col>3</xdr:col>
          <xdr:colOff>314325</xdr:colOff>
          <xdr:row>39</xdr:row>
          <xdr:rowOff>19050</xdr:rowOff>
        </xdr:to>
        <xdr:sp macro="" textlink="">
          <xdr:nvSpPr>
            <xdr:cNvPr id="49242" name="Check Box 3" hidden="1">
              <a:extLst>
                <a:ext uri="{63B3BB69-23CF-44E3-9099-C40C66FF867C}">
                  <a14:compatExt spid="_x0000_s49242"/>
                </a:ext>
                <a:ext uri="{FF2B5EF4-FFF2-40B4-BE49-F238E27FC236}">
                  <a16:creationId xmlns:a16="http://schemas.microsoft.com/office/drawing/2014/main" id="{00000000-0008-0000-0300-00005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40</xdr:row>
          <xdr:rowOff>171450</xdr:rowOff>
        </xdr:from>
        <xdr:to>
          <xdr:col>3</xdr:col>
          <xdr:colOff>323850</xdr:colOff>
          <xdr:row>42</xdr:row>
          <xdr:rowOff>0</xdr:rowOff>
        </xdr:to>
        <xdr:sp macro="" textlink="">
          <xdr:nvSpPr>
            <xdr:cNvPr id="49244" name="Check Box 3" hidden="1">
              <a:extLst>
                <a:ext uri="{63B3BB69-23CF-44E3-9099-C40C66FF867C}">
                  <a14:compatExt spid="_x0000_s49244"/>
                </a:ext>
                <a:ext uri="{FF2B5EF4-FFF2-40B4-BE49-F238E27FC236}">
                  <a16:creationId xmlns:a16="http://schemas.microsoft.com/office/drawing/2014/main" id="{00000000-0008-0000-0300-00005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39</xdr:row>
          <xdr:rowOff>114300</xdr:rowOff>
        </xdr:from>
        <xdr:to>
          <xdr:col>3</xdr:col>
          <xdr:colOff>447675</xdr:colOff>
          <xdr:row>41</xdr:row>
          <xdr:rowOff>38100</xdr:rowOff>
        </xdr:to>
        <xdr:sp macro="" textlink="">
          <xdr:nvSpPr>
            <xdr:cNvPr id="49246" name="Check Box 3" hidden="1">
              <a:extLst>
                <a:ext uri="{63B3BB69-23CF-44E3-9099-C40C66FF867C}">
                  <a14:compatExt spid="_x0000_s49246"/>
                </a:ext>
                <a:ext uri="{FF2B5EF4-FFF2-40B4-BE49-F238E27FC236}">
                  <a16:creationId xmlns:a16="http://schemas.microsoft.com/office/drawing/2014/main" id="{00000000-0008-0000-0300-00005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38</xdr:row>
          <xdr:rowOff>133350</xdr:rowOff>
        </xdr:from>
        <xdr:to>
          <xdr:col>3</xdr:col>
          <xdr:colOff>323850</xdr:colOff>
          <xdr:row>40</xdr:row>
          <xdr:rowOff>19050</xdr:rowOff>
        </xdr:to>
        <xdr:sp macro="" textlink="">
          <xdr:nvSpPr>
            <xdr:cNvPr id="49248" name="Check Box 3" hidden="1">
              <a:extLst>
                <a:ext uri="{63B3BB69-23CF-44E3-9099-C40C66FF867C}">
                  <a14:compatExt spid="_x0000_s49248"/>
                </a:ext>
                <a:ext uri="{FF2B5EF4-FFF2-40B4-BE49-F238E27FC236}">
                  <a16:creationId xmlns:a16="http://schemas.microsoft.com/office/drawing/2014/main" id="{00000000-0008-0000-0300-00006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41</xdr:row>
          <xdr:rowOff>171450</xdr:rowOff>
        </xdr:from>
        <xdr:to>
          <xdr:col>2</xdr:col>
          <xdr:colOff>285750</xdr:colOff>
          <xdr:row>43</xdr:row>
          <xdr:rowOff>0</xdr:rowOff>
        </xdr:to>
        <xdr:sp macro="" textlink="">
          <xdr:nvSpPr>
            <xdr:cNvPr id="49249" name="Check Box 3" hidden="1">
              <a:extLst>
                <a:ext uri="{63B3BB69-23CF-44E3-9099-C40C66FF867C}">
                  <a14:compatExt spid="_x0000_s49249"/>
                </a:ext>
                <a:ext uri="{FF2B5EF4-FFF2-40B4-BE49-F238E27FC236}">
                  <a16:creationId xmlns:a16="http://schemas.microsoft.com/office/drawing/2014/main" id="{00000000-0008-0000-0300-00006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1819275</xdr:colOff>
          <xdr:row>43</xdr:row>
          <xdr:rowOff>190500</xdr:rowOff>
        </xdr:from>
        <xdr:to>
          <xdr:col>3</xdr:col>
          <xdr:colOff>2105025</xdr:colOff>
          <xdr:row>43</xdr:row>
          <xdr:rowOff>390525</xdr:rowOff>
        </xdr:to>
        <xdr:sp macro="" textlink="">
          <xdr:nvSpPr>
            <xdr:cNvPr id="49250" name="Check Box 3" hidden="1">
              <a:extLst>
                <a:ext uri="{63B3BB69-23CF-44E3-9099-C40C66FF867C}">
                  <a14:compatExt spid="_x0000_s49250"/>
                </a:ext>
                <a:ext uri="{FF2B5EF4-FFF2-40B4-BE49-F238E27FC236}">
                  <a16:creationId xmlns:a16="http://schemas.microsoft.com/office/drawing/2014/main" id="{00000000-0008-0000-0300-00006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11</xdr:row>
          <xdr:rowOff>133350</xdr:rowOff>
        </xdr:from>
        <xdr:to>
          <xdr:col>2</xdr:col>
          <xdr:colOff>95250</xdr:colOff>
          <xdr:row>13</xdr:row>
          <xdr:rowOff>28575</xdr:rowOff>
        </xdr:to>
        <xdr:sp macro="" textlink="">
          <xdr:nvSpPr>
            <xdr:cNvPr id="49251" name="Check Box 3" hidden="1">
              <a:extLst>
                <a:ext uri="{63B3BB69-23CF-44E3-9099-C40C66FF867C}">
                  <a14:compatExt spid="_x0000_s49251"/>
                </a:ext>
                <a:ext uri="{FF2B5EF4-FFF2-40B4-BE49-F238E27FC236}">
                  <a16:creationId xmlns:a16="http://schemas.microsoft.com/office/drawing/2014/main" id="{00000000-0008-0000-0300-00006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10</xdr:row>
          <xdr:rowOff>123825</xdr:rowOff>
        </xdr:from>
        <xdr:to>
          <xdr:col>2</xdr:col>
          <xdr:colOff>104775</xdr:colOff>
          <xdr:row>12</xdr:row>
          <xdr:rowOff>19050</xdr:rowOff>
        </xdr:to>
        <xdr:sp macro="" textlink="">
          <xdr:nvSpPr>
            <xdr:cNvPr id="49253" name="Check Box 3" hidden="1">
              <a:extLst>
                <a:ext uri="{63B3BB69-23CF-44E3-9099-C40C66FF867C}">
                  <a14:compatExt spid="_x0000_s49253"/>
                </a:ext>
                <a:ext uri="{FF2B5EF4-FFF2-40B4-BE49-F238E27FC236}">
                  <a16:creationId xmlns:a16="http://schemas.microsoft.com/office/drawing/2014/main" id="{00000000-0008-0000-0300-00006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12</xdr:row>
          <xdr:rowOff>142875</xdr:rowOff>
        </xdr:from>
        <xdr:to>
          <xdr:col>2</xdr:col>
          <xdr:colOff>104775</xdr:colOff>
          <xdr:row>14</xdr:row>
          <xdr:rowOff>47625</xdr:rowOff>
        </xdr:to>
        <xdr:sp macro="" textlink="">
          <xdr:nvSpPr>
            <xdr:cNvPr id="49254" name="Check Box 3" hidden="1">
              <a:extLst>
                <a:ext uri="{63B3BB69-23CF-44E3-9099-C40C66FF867C}">
                  <a14:compatExt spid="_x0000_s49254"/>
                </a:ext>
                <a:ext uri="{FF2B5EF4-FFF2-40B4-BE49-F238E27FC236}">
                  <a16:creationId xmlns:a16="http://schemas.microsoft.com/office/drawing/2014/main" id="{00000000-0008-0000-0300-00006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13</xdr:row>
          <xdr:rowOff>142875</xdr:rowOff>
        </xdr:from>
        <xdr:to>
          <xdr:col>2</xdr:col>
          <xdr:colOff>104775</xdr:colOff>
          <xdr:row>15</xdr:row>
          <xdr:rowOff>38100</xdr:rowOff>
        </xdr:to>
        <xdr:sp macro="" textlink="">
          <xdr:nvSpPr>
            <xdr:cNvPr id="49255" name="Check Box 3" hidden="1">
              <a:extLst>
                <a:ext uri="{63B3BB69-23CF-44E3-9099-C40C66FF867C}">
                  <a14:compatExt spid="_x0000_s49255"/>
                </a:ext>
                <a:ext uri="{FF2B5EF4-FFF2-40B4-BE49-F238E27FC236}">
                  <a16:creationId xmlns:a16="http://schemas.microsoft.com/office/drawing/2014/main" id="{00000000-0008-0000-0300-00006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14</xdr:row>
          <xdr:rowOff>142875</xdr:rowOff>
        </xdr:from>
        <xdr:to>
          <xdr:col>2</xdr:col>
          <xdr:colOff>104775</xdr:colOff>
          <xdr:row>16</xdr:row>
          <xdr:rowOff>38100</xdr:rowOff>
        </xdr:to>
        <xdr:sp macro="" textlink="">
          <xdr:nvSpPr>
            <xdr:cNvPr id="49257" name="Check Box 3" hidden="1">
              <a:extLst>
                <a:ext uri="{63B3BB69-23CF-44E3-9099-C40C66FF867C}">
                  <a14:compatExt spid="_x0000_s49257"/>
                </a:ext>
                <a:ext uri="{FF2B5EF4-FFF2-40B4-BE49-F238E27FC236}">
                  <a16:creationId xmlns:a16="http://schemas.microsoft.com/office/drawing/2014/main" id="{00000000-0008-0000-0300-00006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17</xdr:row>
          <xdr:rowOff>133350</xdr:rowOff>
        </xdr:from>
        <xdr:to>
          <xdr:col>2</xdr:col>
          <xdr:colOff>104775</xdr:colOff>
          <xdr:row>19</xdr:row>
          <xdr:rowOff>28575</xdr:rowOff>
        </xdr:to>
        <xdr:sp macro="" textlink="">
          <xdr:nvSpPr>
            <xdr:cNvPr id="49258" name="Check Box 3" hidden="1">
              <a:extLst>
                <a:ext uri="{63B3BB69-23CF-44E3-9099-C40C66FF867C}">
                  <a14:compatExt spid="_x0000_s49258"/>
                </a:ext>
                <a:ext uri="{FF2B5EF4-FFF2-40B4-BE49-F238E27FC236}">
                  <a16:creationId xmlns:a16="http://schemas.microsoft.com/office/drawing/2014/main" id="{00000000-0008-0000-0300-00006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19</xdr:row>
          <xdr:rowOff>133350</xdr:rowOff>
        </xdr:from>
        <xdr:to>
          <xdr:col>2</xdr:col>
          <xdr:colOff>142875</xdr:colOff>
          <xdr:row>21</xdr:row>
          <xdr:rowOff>57150</xdr:rowOff>
        </xdr:to>
        <xdr:sp macro="" textlink="">
          <xdr:nvSpPr>
            <xdr:cNvPr id="49259" name="Check Box 3" hidden="1">
              <a:extLst>
                <a:ext uri="{63B3BB69-23CF-44E3-9099-C40C66FF867C}">
                  <a14:compatExt spid="_x0000_s49259"/>
                </a:ext>
                <a:ext uri="{FF2B5EF4-FFF2-40B4-BE49-F238E27FC236}">
                  <a16:creationId xmlns:a16="http://schemas.microsoft.com/office/drawing/2014/main" id="{00000000-0008-0000-0300-00006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18</xdr:row>
          <xdr:rowOff>133350</xdr:rowOff>
        </xdr:from>
        <xdr:to>
          <xdr:col>2</xdr:col>
          <xdr:colOff>95250</xdr:colOff>
          <xdr:row>20</xdr:row>
          <xdr:rowOff>19050</xdr:rowOff>
        </xdr:to>
        <xdr:sp macro="" textlink="">
          <xdr:nvSpPr>
            <xdr:cNvPr id="49261" name="Check Box 3" hidden="1">
              <a:extLst>
                <a:ext uri="{63B3BB69-23CF-44E3-9099-C40C66FF867C}">
                  <a14:compatExt spid="_x0000_s49261"/>
                </a:ext>
                <a:ext uri="{FF2B5EF4-FFF2-40B4-BE49-F238E27FC236}">
                  <a16:creationId xmlns:a16="http://schemas.microsoft.com/office/drawing/2014/main" id="{00000000-0008-0000-0300-00006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15</xdr:row>
          <xdr:rowOff>133350</xdr:rowOff>
        </xdr:from>
        <xdr:to>
          <xdr:col>2</xdr:col>
          <xdr:colOff>95250</xdr:colOff>
          <xdr:row>17</xdr:row>
          <xdr:rowOff>28575</xdr:rowOff>
        </xdr:to>
        <xdr:sp macro="" textlink="">
          <xdr:nvSpPr>
            <xdr:cNvPr id="49262" name="Check Box 3" hidden="1">
              <a:extLst>
                <a:ext uri="{63B3BB69-23CF-44E3-9099-C40C66FF867C}">
                  <a14:compatExt spid="_x0000_s49262"/>
                </a:ext>
                <a:ext uri="{FF2B5EF4-FFF2-40B4-BE49-F238E27FC236}">
                  <a16:creationId xmlns:a16="http://schemas.microsoft.com/office/drawing/2014/main" id="{00000000-0008-0000-0300-00006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16</xdr:row>
          <xdr:rowOff>133350</xdr:rowOff>
        </xdr:from>
        <xdr:to>
          <xdr:col>2</xdr:col>
          <xdr:colOff>104775</xdr:colOff>
          <xdr:row>18</xdr:row>
          <xdr:rowOff>28575</xdr:rowOff>
        </xdr:to>
        <xdr:sp macro="" textlink="">
          <xdr:nvSpPr>
            <xdr:cNvPr id="49263" name="Check Box 3" hidden="1">
              <a:extLst>
                <a:ext uri="{63B3BB69-23CF-44E3-9099-C40C66FF867C}">
                  <a14:compatExt spid="_x0000_s49263"/>
                </a:ext>
                <a:ext uri="{FF2B5EF4-FFF2-40B4-BE49-F238E27FC236}">
                  <a16:creationId xmlns:a16="http://schemas.microsoft.com/office/drawing/2014/main" id="{00000000-0008-0000-0300-00006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22</xdr:row>
          <xdr:rowOff>142875</xdr:rowOff>
        </xdr:from>
        <xdr:to>
          <xdr:col>2</xdr:col>
          <xdr:colOff>104775</xdr:colOff>
          <xdr:row>24</xdr:row>
          <xdr:rowOff>38100</xdr:rowOff>
        </xdr:to>
        <xdr:sp macro="" textlink="">
          <xdr:nvSpPr>
            <xdr:cNvPr id="49264" name="Check Box 3" hidden="1">
              <a:extLst>
                <a:ext uri="{63B3BB69-23CF-44E3-9099-C40C66FF867C}">
                  <a14:compatExt spid="_x0000_s49264"/>
                </a:ext>
                <a:ext uri="{FF2B5EF4-FFF2-40B4-BE49-F238E27FC236}">
                  <a16:creationId xmlns:a16="http://schemas.microsoft.com/office/drawing/2014/main" id="{00000000-0008-0000-0300-00007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23</xdr:row>
          <xdr:rowOff>133350</xdr:rowOff>
        </xdr:from>
        <xdr:to>
          <xdr:col>2</xdr:col>
          <xdr:colOff>104775</xdr:colOff>
          <xdr:row>25</xdr:row>
          <xdr:rowOff>28575</xdr:rowOff>
        </xdr:to>
        <xdr:sp macro="" textlink="">
          <xdr:nvSpPr>
            <xdr:cNvPr id="49266" name="Check Box 3" hidden="1">
              <a:extLst>
                <a:ext uri="{63B3BB69-23CF-44E3-9099-C40C66FF867C}">
                  <a14:compatExt spid="_x0000_s49266"/>
                </a:ext>
                <a:ext uri="{FF2B5EF4-FFF2-40B4-BE49-F238E27FC236}">
                  <a16:creationId xmlns:a16="http://schemas.microsoft.com/office/drawing/2014/main" id="{00000000-0008-0000-0300-00007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21</xdr:row>
          <xdr:rowOff>133350</xdr:rowOff>
        </xdr:from>
        <xdr:to>
          <xdr:col>2</xdr:col>
          <xdr:colOff>114300</xdr:colOff>
          <xdr:row>22</xdr:row>
          <xdr:rowOff>171450</xdr:rowOff>
        </xdr:to>
        <xdr:sp macro="" textlink="">
          <xdr:nvSpPr>
            <xdr:cNvPr id="49267" name="Check Box 3" hidden="1">
              <a:extLst>
                <a:ext uri="{63B3BB69-23CF-44E3-9099-C40C66FF867C}">
                  <a14:compatExt spid="_x0000_s49267"/>
                </a:ext>
                <a:ext uri="{FF2B5EF4-FFF2-40B4-BE49-F238E27FC236}">
                  <a16:creationId xmlns:a16="http://schemas.microsoft.com/office/drawing/2014/main" id="{00000000-0008-0000-0300-00007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20</xdr:row>
          <xdr:rowOff>133350</xdr:rowOff>
        </xdr:from>
        <xdr:to>
          <xdr:col>2</xdr:col>
          <xdr:colOff>104775</xdr:colOff>
          <xdr:row>22</xdr:row>
          <xdr:rowOff>28575</xdr:rowOff>
        </xdr:to>
        <xdr:sp macro="" textlink="">
          <xdr:nvSpPr>
            <xdr:cNvPr id="49269" name="Check Box 3" hidden="1">
              <a:extLst>
                <a:ext uri="{63B3BB69-23CF-44E3-9099-C40C66FF867C}">
                  <a14:compatExt spid="_x0000_s49269"/>
                </a:ext>
                <a:ext uri="{FF2B5EF4-FFF2-40B4-BE49-F238E27FC236}">
                  <a16:creationId xmlns:a16="http://schemas.microsoft.com/office/drawing/2014/main" id="{00000000-0008-0000-0300-00007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25</xdr:row>
          <xdr:rowOff>133350</xdr:rowOff>
        </xdr:from>
        <xdr:to>
          <xdr:col>3</xdr:col>
          <xdr:colOff>333375</xdr:colOff>
          <xdr:row>27</xdr:row>
          <xdr:rowOff>57150</xdr:rowOff>
        </xdr:to>
        <xdr:sp macro="" textlink="">
          <xdr:nvSpPr>
            <xdr:cNvPr id="49270" name="Check Box 3" hidden="1">
              <a:extLst>
                <a:ext uri="{63B3BB69-23CF-44E3-9099-C40C66FF867C}">
                  <a14:compatExt spid="_x0000_s49270"/>
                </a:ext>
                <a:ext uri="{FF2B5EF4-FFF2-40B4-BE49-F238E27FC236}">
                  <a16:creationId xmlns:a16="http://schemas.microsoft.com/office/drawing/2014/main" id="{00000000-0008-0000-0300-00007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24</xdr:row>
          <xdr:rowOff>171450</xdr:rowOff>
        </xdr:from>
        <xdr:to>
          <xdr:col>2</xdr:col>
          <xdr:colOff>104775</xdr:colOff>
          <xdr:row>26</xdr:row>
          <xdr:rowOff>38100</xdr:rowOff>
        </xdr:to>
        <xdr:sp macro="" textlink="">
          <xdr:nvSpPr>
            <xdr:cNvPr id="49271" name="Check Box 3" hidden="1">
              <a:extLst>
                <a:ext uri="{63B3BB69-23CF-44E3-9099-C40C66FF867C}">
                  <a14:compatExt spid="_x0000_s49271"/>
                </a:ext>
                <a:ext uri="{FF2B5EF4-FFF2-40B4-BE49-F238E27FC236}">
                  <a16:creationId xmlns:a16="http://schemas.microsoft.com/office/drawing/2014/main" id="{00000000-0008-0000-0300-00007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171450</xdr:rowOff>
        </xdr:from>
        <xdr:to>
          <xdr:col>2</xdr:col>
          <xdr:colOff>85725</xdr:colOff>
          <xdr:row>31</xdr:row>
          <xdr:rowOff>28575</xdr:rowOff>
        </xdr:to>
        <xdr:sp macro="" textlink="">
          <xdr:nvSpPr>
            <xdr:cNvPr id="49272" name="Check Box 3" hidden="1">
              <a:extLst>
                <a:ext uri="{63B3BB69-23CF-44E3-9099-C40C66FF867C}">
                  <a14:compatExt spid="_x0000_s49272"/>
                </a:ext>
                <a:ext uri="{FF2B5EF4-FFF2-40B4-BE49-F238E27FC236}">
                  <a16:creationId xmlns:a16="http://schemas.microsoft.com/office/drawing/2014/main" id="{00000000-0008-0000-0300-00007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28</xdr:row>
          <xdr:rowOff>161925</xdr:rowOff>
        </xdr:from>
        <xdr:to>
          <xdr:col>2</xdr:col>
          <xdr:colOff>95250</xdr:colOff>
          <xdr:row>30</xdr:row>
          <xdr:rowOff>28575</xdr:rowOff>
        </xdr:to>
        <xdr:sp macro="" textlink="">
          <xdr:nvSpPr>
            <xdr:cNvPr id="49273" name="Check Box 3" hidden="1">
              <a:extLst>
                <a:ext uri="{63B3BB69-23CF-44E3-9099-C40C66FF867C}">
                  <a14:compatExt spid="_x0000_s49273"/>
                </a:ext>
                <a:ext uri="{FF2B5EF4-FFF2-40B4-BE49-F238E27FC236}">
                  <a16:creationId xmlns:a16="http://schemas.microsoft.com/office/drawing/2014/main" id="{00000000-0008-0000-0300-00007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171450</xdr:rowOff>
        </xdr:from>
        <xdr:to>
          <xdr:col>2</xdr:col>
          <xdr:colOff>95250</xdr:colOff>
          <xdr:row>27</xdr:row>
          <xdr:rowOff>19050</xdr:rowOff>
        </xdr:to>
        <xdr:sp macro="" textlink="">
          <xdr:nvSpPr>
            <xdr:cNvPr id="49274" name="Check Box 3" hidden="1">
              <a:extLst>
                <a:ext uri="{63B3BB69-23CF-44E3-9099-C40C66FF867C}">
                  <a14:compatExt spid="_x0000_s49274"/>
                </a:ext>
                <a:ext uri="{FF2B5EF4-FFF2-40B4-BE49-F238E27FC236}">
                  <a16:creationId xmlns:a16="http://schemas.microsoft.com/office/drawing/2014/main" id="{00000000-0008-0000-0300-00007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27</xdr:row>
          <xdr:rowOff>0</xdr:rowOff>
        </xdr:from>
        <xdr:to>
          <xdr:col>2</xdr:col>
          <xdr:colOff>95250</xdr:colOff>
          <xdr:row>28</xdr:row>
          <xdr:rowOff>85725</xdr:rowOff>
        </xdr:to>
        <xdr:sp macro="" textlink="">
          <xdr:nvSpPr>
            <xdr:cNvPr id="49275" name="Check Box 3" hidden="1">
              <a:extLst>
                <a:ext uri="{63B3BB69-23CF-44E3-9099-C40C66FF867C}">
                  <a14:compatExt spid="_x0000_s49275"/>
                </a:ext>
                <a:ext uri="{FF2B5EF4-FFF2-40B4-BE49-F238E27FC236}">
                  <a16:creationId xmlns:a16="http://schemas.microsoft.com/office/drawing/2014/main" id="{00000000-0008-0000-0300-00007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27</xdr:row>
          <xdr:rowOff>171450</xdr:rowOff>
        </xdr:from>
        <xdr:to>
          <xdr:col>2</xdr:col>
          <xdr:colOff>95250</xdr:colOff>
          <xdr:row>29</xdr:row>
          <xdr:rowOff>28575</xdr:rowOff>
        </xdr:to>
        <xdr:sp macro="" textlink="">
          <xdr:nvSpPr>
            <xdr:cNvPr id="49276" name="Check Box 3" hidden="1">
              <a:extLst>
                <a:ext uri="{63B3BB69-23CF-44E3-9099-C40C66FF867C}">
                  <a14:compatExt spid="_x0000_s49276"/>
                </a:ext>
                <a:ext uri="{FF2B5EF4-FFF2-40B4-BE49-F238E27FC236}">
                  <a16:creationId xmlns:a16="http://schemas.microsoft.com/office/drawing/2014/main" id="{00000000-0008-0000-0300-00007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30</xdr:row>
          <xdr:rowOff>161925</xdr:rowOff>
        </xdr:from>
        <xdr:to>
          <xdr:col>2</xdr:col>
          <xdr:colOff>95250</xdr:colOff>
          <xdr:row>32</xdr:row>
          <xdr:rowOff>19050</xdr:rowOff>
        </xdr:to>
        <xdr:sp macro="" textlink="">
          <xdr:nvSpPr>
            <xdr:cNvPr id="49277" name="Check Box 3" hidden="1">
              <a:extLst>
                <a:ext uri="{63B3BB69-23CF-44E3-9099-C40C66FF867C}">
                  <a14:compatExt spid="_x0000_s49277"/>
                </a:ext>
                <a:ext uri="{FF2B5EF4-FFF2-40B4-BE49-F238E27FC236}">
                  <a16:creationId xmlns:a16="http://schemas.microsoft.com/office/drawing/2014/main" id="{00000000-0008-0000-0300-00007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31</xdr:row>
          <xdr:rowOff>171450</xdr:rowOff>
        </xdr:from>
        <xdr:to>
          <xdr:col>2</xdr:col>
          <xdr:colOff>95250</xdr:colOff>
          <xdr:row>33</xdr:row>
          <xdr:rowOff>19050</xdr:rowOff>
        </xdr:to>
        <xdr:sp macro="" textlink="">
          <xdr:nvSpPr>
            <xdr:cNvPr id="49278" name="Check Box 3" hidden="1">
              <a:extLst>
                <a:ext uri="{63B3BB69-23CF-44E3-9099-C40C66FF867C}">
                  <a14:compatExt spid="_x0000_s49278"/>
                </a:ext>
                <a:ext uri="{FF2B5EF4-FFF2-40B4-BE49-F238E27FC236}">
                  <a16:creationId xmlns:a16="http://schemas.microsoft.com/office/drawing/2014/main" id="{00000000-0008-0000-0300-00007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33</xdr:row>
          <xdr:rowOff>171450</xdr:rowOff>
        </xdr:from>
        <xdr:to>
          <xdr:col>2</xdr:col>
          <xdr:colOff>95250</xdr:colOff>
          <xdr:row>35</xdr:row>
          <xdr:rowOff>28575</xdr:rowOff>
        </xdr:to>
        <xdr:sp macro="" textlink="">
          <xdr:nvSpPr>
            <xdr:cNvPr id="49279" name="Check Box 3" hidden="1">
              <a:extLst>
                <a:ext uri="{63B3BB69-23CF-44E3-9099-C40C66FF867C}">
                  <a14:compatExt spid="_x0000_s49279"/>
                </a:ext>
                <a:ext uri="{FF2B5EF4-FFF2-40B4-BE49-F238E27FC236}">
                  <a16:creationId xmlns:a16="http://schemas.microsoft.com/office/drawing/2014/main" id="{00000000-0008-0000-0300-00007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32</xdr:row>
          <xdr:rowOff>171450</xdr:rowOff>
        </xdr:from>
        <xdr:to>
          <xdr:col>2</xdr:col>
          <xdr:colOff>95250</xdr:colOff>
          <xdr:row>34</xdr:row>
          <xdr:rowOff>19050</xdr:rowOff>
        </xdr:to>
        <xdr:sp macro="" textlink="">
          <xdr:nvSpPr>
            <xdr:cNvPr id="49280" name="Check Box 3" hidden="1">
              <a:extLst>
                <a:ext uri="{63B3BB69-23CF-44E3-9099-C40C66FF867C}">
                  <a14:compatExt spid="_x0000_s49280"/>
                </a:ext>
                <a:ext uri="{FF2B5EF4-FFF2-40B4-BE49-F238E27FC236}">
                  <a16:creationId xmlns:a16="http://schemas.microsoft.com/office/drawing/2014/main" id="{00000000-0008-0000-0300-00008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35</xdr:row>
          <xdr:rowOff>0</xdr:rowOff>
        </xdr:from>
        <xdr:to>
          <xdr:col>2</xdr:col>
          <xdr:colOff>95250</xdr:colOff>
          <xdr:row>36</xdr:row>
          <xdr:rowOff>38100</xdr:rowOff>
        </xdr:to>
        <xdr:sp macro="" textlink="">
          <xdr:nvSpPr>
            <xdr:cNvPr id="49281" name="Check Box 3" hidden="1">
              <a:extLst>
                <a:ext uri="{63B3BB69-23CF-44E3-9099-C40C66FF867C}">
                  <a14:compatExt spid="_x0000_s49281"/>
                </a:ext>
                <a:ext uri="{FF2B5EF4-FFF2-40B4-BE49-F238E27FC236}">
                  <a16:creationId xmlns:a16="http://schemas.microsoft.com/office/drawing/2014/main" id="{00000000-0008-0000-0300-00008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36</xdr:row>
          <xdr:rowOff>19050</xdr:rowOff>
        </xdr:from>
        <xdr:to>
          <xdr:col>2</xdr:col>
          <xdr:colOff>95250</xdr:colOff>
          <xdr:row>37</xdr:row>
          <xdr:rowOff>57150</xdr:rowOff>
        </xdr:to>
        <xdr:sp macro="" textlink="">
          <xdr:nvSpPr>
            <xdr:cNvPr id="49282" name="Check Box 3" hidden="1">
              <a:extLst>
                <a:ext uri="{63B3BB69-23CF-44E3-9099-C40C66FF867C}">
                  <a14:compatExt spid="_x0000_s49282"/>
                </a:ext>
                <a:ext uri="{FF2B5EF4-FFF2-40B4-BE49-F238E27FC236}">
                  <a16:creationId xmlns:a16="http://schemas.microsoft.com/office/drawing/2014/main" id="{00000000-0008-0000-0300-00008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0</xdr:rowOff>
        </xdr:from>
        <xdr:to>
          <xdr:col>2</xdr:col>
          <xdr:colOff>95250</xdr:colOff>
          <xdr:row>38</xdr:row>
          <xdr:rowOff>38100</xdr:rowOff>
        </xdr:to>
        <xdr:sp macro="" textlink="">
          <xdr:nvSpPr>
            <xdr:cNvPr id="49283" name="Check Box 3" hidden="1">
              <a:extLst>
                <a:ext uri="{63B3BB69-23CF-44E3-9099-C40C66FF867C}">
                  <a14:compatExt spid="_x0000_s49283"/>
                </a:ext>
                <a:ext uri="{FF2B5EF4-FFF2-40B4-BE49-F238E27FC236}">
                  <a16:creationId xmlns:a16="http://schemas.microsoft.com/office/drawing/2014/main" id="{00000000-0008-0000-0300-00008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171450</xdr:rowOff>
        </xdr:from>
        <xdr:to>
          <xdr:col>2</xdr:col>
          <xdr:colOff>95250</xdr:colOff>
          <xdr:row>39</xdr:row>
          <xdr:rowOff>19050</xdr:rowOff>
        </xdr:to>
        <xdr:sp macro="" textlink="">
          <xdr:nvSpPr>
            <xdr:cNvPr id="49284" name="Check Box 3" hidden="1">
              <a:extLst>
                <a:ext uri="{63B3BB69-23CF-44E3-9099-C40C66FF867C}">
                  <a14:compatExt spid="_x0000_s49284"/>
                </a:ext>
                <a:ext uri="{FF2B5EF4-FFF2-40B4-BE49-F238E27FC236}">
                  <a16:creationId xmlns:a16="http://schemas.microsoft.com/office/drawing/2014/main" id="{00000000-0008-0000-0300-00008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38</xdr:row>
          <xdr:rowOff>133350</xdr:rowOff>
        </xdr:from>
        <xdr:to>
          <xdr:col>2</xdr:col>
          <xdr:colOff>95250</xdr:colOff>
          <xdr:row>39</xdr:row>
          <xdr:rowOff>171450</xdr:rowOff>
        </xdr:to>
        <xdr:sp macro="" textlink="">
          <xdr:nvSpPr>
            <xdr:cNvPr id="49285" name="Check Box 3" hidden="1">
              <a:extLst>
                <a:ext uri="{63B3BB69-23CF-44E3-9099-C40C66FF867C}">
                  <a14:compatExt spid="_x0000_s49285"/>
                </a:ext>
                <a:ext uri="{FF2B5EF4-FFF2-40B4-BE49-F238E27FC236}">
                  <a16:creationId xmlns:a16="http://schemas.microsoft.com/office/drawing/2014/main" id="{00000000-0008-0000-0300-00008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39</xdr:row>
          <xdr:rowOff>171450</xdr:rowOff>
        </xdr:from>
        <xdr:to>
          <xdr:col>2</xdr:col>
          <xdr:colOff>76200</xdr:colOff>
          <xdr:row>41</xdr:row>
          <xdr:rowOff>0</xdr:rowOff>
        </xdr:to>
        <xdr:sp macro="" textlink="">
          <xdr:nvSpPr>
            <xdr:cNvPr id="49286" name="Check Box 3" hidden="1">
              <a:extLst>
                <a:ext uri="{63B3BB69-23CF-44E3-9099-C40C66FF867C}">
                  <a14:compatExt spid="_x0000_s49286"/>
                </a:ext>
                <a:ext uri="{FF2B5EF4-FFF2-40B4-BE49-F238E27FC236}">
                  <a16:creationId xmlns:a16="http://schemas.microsoft.com/office/drawing/2014/main" id="{00000000-0008-0000-0300-00008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41</xdr:row>
          <xdr:rowOff>0</xdr:rowOff>
        </xdr:from>
        <xdr:to>
          <xdr:col>2</xdr:col>
          <xdr:colOff>85725</xdr:colOff>
          <xdr:row>42</xdr:row>
          <xdr:rowOff>19050</xdr:rowOff>
        </xdr:to>
        <xdr:sp macro="" textlink="">
          <xdr:nvSpPr>
            <xdr:cNvPr id="49287" name="Check Box 3" hidden="1">
              <a:extLst>
                <a:ext uri="{63B3BB69-23CF-44E3-9099-C40C66FF867C}">
                  <a14:compatExt spid="_x0000_s49287"/>
                </a:ext>
                <a:ext uri="{FF2B5EF4-FFF2-40B4-BE49-F238E27FC236}">
                  <a16:creationId xmlns:a16="http://schemas.microsoft.com/office/drawing/2014/main" id="{00000000-0008-0000-0300-00008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8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66</xdr:row>
      <xdr:rowOff>76200</xdr:rowOff>
    </xdr:from>
    <xdr:to>
      <xdr:col>9</xdr:col>
      <xdr:colOff>466725</xdr:colOff>
      <xdr:row>66</xdr:row>
      <xdr:rowOff>85725</xdr:rowOff>
    </xdr:to>
    <xdr:sp macro="" textlink="">
      <xdr:nvSpPr>
        <xdr:cNvPr id="3" name="Line 46">
          <a:extLst>
            <a:ext uri="{FF2B5EF4-FFF2-40B4-BE49-F238E27FC236}">
              <a16:creationId xmlns:a16="http://schemas.microsoft.com/office/drawing/2014/main" id="{00000000-0008-0000-08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43</xdr:row>
      <xdr:rowOff>7620</xdr:rowOff>
    </xdr:to>
    <xdr:sp macro="" textlink="">
      <xdr:nvSpPr>
        <xdr:cNvPr id="4" name="Text Box 47">
          <a:extLst>
            <a:ext uri="{FF2B5EF4-FFF2-40B4-BE49-F238E27FC236}">
              <a16:creationId xmlns:a16="http://schemas.microsoft.com/office/drawing/2014/main" id="{00000000-0008-0000-0800-000004000000}"/>
            </a:ext>
          </a:extLst>
        </xdr:cNvPr>
        <xdr:cNvSpPr txBox="1">
          <a:spLocks noChangeArrowheads="1"/>
        </xdr:cNvSpPr>
      </xdr:nvSpPr>
      <xdr:spPr bwMode="auto">
        <a:xfrm>
          <a:off x="375139" y="5044441"/>
          <a:ext cx="6431280" cy="2514599"/>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Der Unterpächter übernimmt neben der Laube einen einzeln stehenden Schuppen. Der Unterpachtvertrag läßt grundsätzlich einzeln stehende Schuppen nicht zu. Der Abriss  des Schuppens wird im vorliegenden Fall nur deshalb zurückgestellt, weil die gesamte überdachte Fläche von Laube und Schuppen 24 m² nicht oder nur geringfügig überschreitet. </a:t>
          </a:r>
          <a:r>
            <a:rPr lang="de-DE" sz="1000" b="1" i="0" u="none" strike="noStrike" baseline="0">
              <a:solidFill>
                <a:srgbClr val="000000"/>
              </a:solidFill>
              <a:latin typeface="Arial"/>
              <a:cs typeface="Arial"/>
            </a:rPr>
            <a:t>Der Schuppen muss auf eigene Kosten entfernt werden, sofern der Grundstückseigentümer, die Kleingartenbehörde oder die Bauaufsichtsbehörde die Beseitigung verlangen sollte</a:t>
          </a:r>
          <a:r>
            <a:rPr lang="de-DE" sz="1000" b="0" i="0" u="none" strike="noStrike" baseline="0">
              <a:solidFill>
                <a:srgbClr val="000000"/>
              </a:solidFill>
              <a:latin typeface="Arial"/>
              <a:cs typeface="Arial"/>
            </a:rPr>
            <a:t>. </a:t>
          </a:r>
          <a:r>
            <a:rPr lang="de-DE" sz="1000" b="1" i="0" u="none" strike="noStrike" baseline="0">
              <a:solidFill>
                <a:srgbClr val="000000"/>
              </a:solidFill>
              <a:latin typeface="Arial"/>
              <a:cs typeface="Arial"/>
            </a:rPr>
            <a:t>Der Schuppen darf nicht erneuert werden</a:t>
          </a:r>
          <a:r>
            <a:rPr lang="de-DE" sz="1000" b="0" i="0" u="none" strike="noStrike" baseline="0">
              <a:solidFill>
                <a:srgbClr val="000000"/>
              </a:solidFill>
              <a:latin typeface="Arial"/>
              <a:cs typeface="Arial"/>
            </a:rPr>
            <a:t>. Er darf nur unter Einhaltung der zulässigen 24 m² Grundfläche durch Errichtung eines Anbaus an der vorhanden Laube ersetzt werden. Ein solcher Anbau bedarf der ausdrücklichen  Zustimmung des Verpächters, die vor Baubeginn einzuholen ist. </a:t>
          </a:r>
          <a:r>
            <a:rPr lang="de-DE" sz="1000" b="1" i="0" u="none" strike="noStrike" baseline="0">
              <a:solidFill>
                <a:srgbClr val="000000"/>
              </a:solidFill>
              <a:latin typeface="Arial"/>
              <a:cs typeface="Arial"/>
            </a:rPr>
            <a:t>Instandsetzungs- maßnahmen am Schuppen sind grundsätzlich unzulässig.</a:t>
          </a:r>
          <a:br>
            <a:rPr lang="de-DE" sz="1000" b="1" i="0" u="none" strike="noStrike" baseline="0">
              <a:solidFill>
                <a:srgbClr val="000000"/>
              </a:solidFill>
              <a:latin typeface="Arial"/>
              <a:cs typeface="Arial"/>
            </a:rPr>
          </a:br>
          <a:br>
            <a:rPr lang="de-DE" sz="1000" b="1" i="0" u="none" strike="noStrike" baseline="0">
              <a:solidFill>
                <a:srgbClr val="000000"/>
              </a:solidFill>
              <a:latin typeface="Arial"/>
              <a:cs typeface="Arial"/>
            </a:rPr>
          </a:br>
          <a:r>
            <a:rPr lang="de-DE" sz="1000" b="0" i="0" u="none" strike="noStrike" baseline="0">
              <a:solidFill>
                <a:srgbClr val="000000"/>
              </a:solidFill>
              <a:latin typeface="Arial"/>
              <a:cs typeface="Arial"/>
            </a:rPr>
            <a:t>Jedwede Instandsetzungsmaßnahme, insbesondere die ganze oder auch nur teilweise Erneuerung von tragenden Bauteilen (Wände, Decken, Dachstuhl u.ä.) an der Laube bedarf der ausdrücklichen Zustimmung des Verpächters. </a:t>
          </a:r>
        </a:p>
        <a:p>
          <a:pPr algn="l" rtl="0">
            <a:defRPr sz="1000"/>
          </a:pPr>
          <a:endParaRPr lang="de-DE" sz="1000" b="0" i="0" u="none" strike="noStrike" baseline="0">
            <a:solidFill>
              <a:srgbClr val="000000"/>
            </a:solidFill>
            <a:latin typeface="Arial"/>
            <a:cs typeface="Arial"/>
          </a:endParaRPr>
        </a:p>
      </xdr:txBody>
    </xdr:sp>
    <xdr:clientData/>
  </xdr:twoCellAnchor>
  <xdr:twoCellAnchor editAs="absolute">
    <xdr:from>
      <xdr:col>9</xdr:col>
      <xdr:colOff>43301</xdr:colOff>
      <xdr:row>94</xdr:row>
      <xdr:rowOff>6464</xdr:rowOff>
    </xdr:from>
    <xdr:to>
      <xdr:col>9</xdr:col>
      <xdr:colOff>875786</xdr:colOff>
      <xdr:row>96</xdr:row>
      <xdr:rowOff>15989</xdr:rowOff>
    </xdr:to>
    <xdr:sp macro="" textlink="">
      <xdr:nvSpPr>
        <xdr:cNvPr id="5" name="Text Box 79" hidden="1">
          <a:extLst>
            <a:ext uri="{FF2B5EF4-FFF2-40B4-BE49-F238E27FC236}">
              <a16:creationId xmlns:a16="http://schemas.microsoft.com/office/drawing/2014/main" id="{00000000-0008-0000-08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8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9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63</xdr:row>
      <xdr:rowOff>76200</xdr:rowOff>
    </xdr:from>
    <xdr:to>
      <xdr:col>9</xdr:col>
      <xdr:colOff>466725</xdr:colOff>
      <xdr:row>63</xdr:row>
      <xdr:rowOff>85725</xdr:rowOff>
    </xdr:to>
    <xdr:sp macro="" textlink="">
      <xdr:nvSpPr>
        <xdr:cNvPr id="3" name="Line 46">
          <a:extLst>
            <a:ext uri="{FF2B5EF4-FFF2-40B4-BE49-F238E27FC236}">
              <a16:creationId xmlns:a16="http://schemas.microsoft.com/office/drawing/2014/main" id="{00000000-0008-0000-09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39</xdr:row>
      <xdr:rowOff>0</xdr:rowOff>
    </xdr:to>
    <xdr:sp macro="" textlink="">
      <xdr:nvSpPr>
        <xdr:cNvPr id="4" name="Text Box 47">
          <a:extLst>
            <a:ext uri="{FF2B5EF4-FFF2-40B4-BE49-F238E27FC236}">
              <a16:creationId xmlns:a16="http://schemas.microsoft.com/office/drawing/2014/main" id="{00000000-0008-0000-0900-000004000000}"/>
            </a:ext>
          </a:extLst>
        </xdr:cNvPr>
        <xdr:cNvSpPr txBox="1">
          <a:spLocks noChangeArrowheads="1"/>
        </xdr:cNvSpPr>
      </xdr:nvSpPr>
      <xdr:spPr bwMode="auto">
        <a:xfrm>
          <a:off x="365174" y="5071990"/>
          <a:ext cx="6400800" cy="1809456"/>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endParaRPr lang="de-DE" sz="800" b="0" i="0" u="none" strike="noStrike" baseline="0">
            <a:solidFill>
              <a:srgbClr val="000000"/>
            </a:solidFill>
            <a:latin typeface="+mn-lt"/>
            <a:cs typeface="Times New Roman" panose="02020603050405020304" pitchFamily="18" charset="0"/>
          </a:endParaRPr>
        </a:p>
      </xdr:txBody>
    </xdr:sp>
    <xdr:clientData/>
  </xdr:twoCellAnchor>
  <xdr:twoCellAnchor editAs="absolute">
    <xdr:from>
      <xdr:col>8</xdr:col>
      <xdr:colOff>546221</xdr:colOff>
      <xdr:row>93</xdr:row>
      <xdr:rowOff>148899</xdr:rowOff>
    </xdr:from>
    <xdr:to>
      <xdr:col>9</xdr:col>
      <xdr:colOff>784346</xdr:colOff>
      <xdr:row>95</xdr:row>
      <xdr:rowOff>167802</xdr:rowOff>
    </xdr:to>
    <xdr:sp macro="" textlink="">
      <xdr:nvSpPr>
        <xdr:cNvPr id="5" name="Text Box 79" hidden="1">
          <a:extLst>
            <a:ext uri="{FF2B5EF4-FFF2-40B4-BE49-F238E27FC236}">
              <a16:creationId xmlns:a16="http://schemas.microsoft.com/office/drawing/2014/main" id="{00000000-0008-0000-09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9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127635</xdr:colOff>
      <xdr:row>24</xdr:row>
      <xdr:rowOff>38100</xdr:rowOff>
    </xdr:from>
    <xdr:to>
      <xdr:col>6</xdr:col>
      <xdr:colOff>781050</xdr:colOff>
      <xdr:row>52</xdr:row>
      <xdr:rowOff>101599</xdr:rowOff>
    </xdr:to>
    <xdr:sp macro="" textlink="">
      <xdr:nvSpPr>
        <xdr:cNvPr id="2" name="Text Box 1">
          <a:extLst>
            <a:ext uri="{FF2B5EF4-FFF2-40B4-BE49-F238E27FC236}">
              <a16:creationId xmlns:a16="http://schemas.microsoft.com/office/drawing/2014/main" id="{00000000-0008-0000-0A00-000002000000}"/>
            </a:ext>
          </a:extLst>
        </xdr:cNvPr>
        <xdr:cNvSpPr txBox="1">
          <a:spLocks noChangeArrowheads="1"/>
        </xdr:cNvSpPr>
      </xdr:nvSpPr>
      <xdr:spPr bwMode="auto">
        <a:xfrm>
          <a:off x="127635" y="4394200"/>
          <a:ext cx="5657215" cy="4686299"/>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a:p>
          <a:pPr algn="l" rtl="0">
            <a:defRPr sz="1000"/>
          </a:pPr>
          <a:endParaRPr lang="de-DE" sz="1100" b="0" i="0" u="none" strike="noStrike" baseline="0">
            <a:solidFill>
              <a:srgbClr val="000000"/>
            </a:solidFill>
            <a:latin typeface="Arial"/>
            <a:cs typeface="Arial"/>
          </a:endParaRPr>
        </a:p>
      </xdr:txBody>
    </xdr:sp>
    <xdr:clientData/>
  </xdr:twoCellAnchor>
  <xdr:twoCellAnchor>
    <xdr:from>
      <xdr:col>5</xdr:col>
      <xdr:colOff>114300</xdr:colOff>
      <xdr:row>17</xdr:row>
      <xdr:rowOff>57149</xdr:rowOff>
    </xdr:from>
    <xdr:to>
      <xdr:col>6</xdr:col>
      <xdr:colOff>521964</xdr:colOff>
      <xdr:row>23</xdr:row>
      <xdr:rowOff>200024</xdr:rowOff>
    </xdr:to>
    <xdr:sp macro="" textlink="">
      <xdr:nvSpPr>
        <xdr:cNvPr id="3" name="Text Box 2">
          <a:extLst>
            <a:ext uri="{FF2B5EF4-FFF2-40B4-BE49-F238E27FC236}">
              <a16:creationId xmlns:a16="http://schemas.microsoft.com/office/drawing/2014/main" id="{00000000-0008-0000-0A00-000003000000}"/>
            </a:ext>
          </a:extLst>
        </xdr:cNvPr>
        <xdr:cNvSpPr txBox="1">
          <a:spLocks noChangeArrowheads="1"/>
        </xdr:cNvSpPr>
      </xdr:nvSpPr>
      <xdr:spPr bwMode="auto">
        <a:xfrm>
          <a:off x="3867150" y="3143249"/>
          <a:ext cx="1522089" cy="11334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Über die für den Abriss bzw. die Reduzierung geleistete Sicherheit/Einbehalt kann erst nach Neuvergabe entschieden werden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137160</xdr:colOff>
      <xdr:row>25</xdr:row>
      <xdr:rowOff>47625</xdr:rowOff>
    </xdr:from>
    <xdr:to>
      <xdr:col>6</xdr:col>
      <xdr:colOff>790575</xdr:colOff>
      <xdr:row>52</xdr:row>
      <xdr:rowOff>139700</xdr:rowOff>
    </xdr:to>
    <xdr:sp macro="" textlink="">
      <xdr:nvSpPr>
        <xdr:cNvPr id="2" name="Text Box 1">
          <a:extLst>
            <a:ext uri="{FF2B5EF4-FFF2-40B4-BE49-F238E27FC236}">
              <a16:creationId xmlns:a16="http://schemas.microsoft.com/office/drawing/2014/main" id="{00000000-0008-0000-0B00-000002000000}"/>
            </a:ext>
          </a:extLst>
        </xdr:cNvPr>
        <xdr:cNvSpPr txBox="1">
          <a:spLocks noChangeArrowheads="1"/>
        </xdr:cNvSpPr>
      </xdr:nvSpPr>
      <xdr:spPr bwMode="auto">
        <a:xfrm>
          <a:off x="137160" y="4568825"/>
          <a:ext cx="5657215" cy="4549775"/>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127635</xdr:colOff>
      <xdr:row>28</xdr:row>
      <xdr:rowOff>38101</xdr:rowOff>
    </xdr:from>
    <xdr:to>
      <xdr:col>6</xdr:col>
      <xdr:colOff>781050</xdr:colOff>
      <xdr:row>47</xdr:row>
      <xdr:rowOff>144781</xdr:rowOff>
    </xdr:to>
    <xdr:sp macro="" textlink="">
      <xdr:nvSpPr>
        <xdr:cNvPr id="2" name="Text Box 1">
          <a:extLst>
            <a:ext uri="{FF2B5EF4-FFF2-40B4-BE49-F238E27FC236}">
              <a16:creationId xmlns:a16="http://schemas.microsoft.com/office/drawing/2014/main" id="{00000000-0008-0000-0C00-000002000000}"/>
            </a:ext>
          </a:extLst>
        </xdr:cNvPr>
        <xdr:cNvSpPr txBox="1">
          <a:spLocks noChangeArrowheads="1"/>
        </xdr:cNvSpPr>
      </xdr:nvSpPr>
      <xdr:spPr bwMode="auto">
        <a:xfrm>
          <a:off x="127635" y="5173981"/>
          <a:ext cx="5865495" cy="329184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de-DE" sz="1100" b="0" i="0" u="none" strike="noStrike" baseline="0">
              <a:solidFill>
                <a:srgbClr val="000000"/>
              </a:solidFill>
              <a:latin typeface="Arial"/>
              <a:cs typeface="Arial"/>
            </a:rPr>
            <a:t>Die Ermittlung des Wertes erfolgt auf Grundlage der "Wertermittlung auf Kleingärten  -  bei Unterpächterwechsel" des Landesverbandes Berlin der Gartenfreunde e.V. (Bewertungsrichtlinie).</a:t>
          </a:r>
        </a:p>
        <a:p>
          <a:pPr algn="l" rtl="0">
            <a:defRPr sz="1000"/>
          </a:pPr>
          <a:endParaRPr lang="de-DE" sz="1100" b="0" i="0" u="none" strike="noStrike" baseline="0">
            <a:solidFill>
              <a:srgbClr val="000000"/>
            </a:solidFill>
            <a:latin typeface="Arial"/>
            <a:cs typeface="Arial"/>
          </a:endParaRPr>
        </a:p>
        <a:p>
          <a:pPr algn="l" rtl="0">
            <a:defRPr sz="1000"/>
          </a:pPr>
          <a:r>
            <a:rPr lang="de-DE" sz="1100" b="0" i="0" u="none" strike="noStrike" baseline="0">
              <a:solidFill>
                <a:srgbClr val="000000"/>
              </a:solidFill>
              <a:latin typeface="Arial"/>
              <a:cs typeface="Arial"/>
            </a:rPr>
            <a:t>Ein etwaiger Widerspruch gegen die Wertermittlung ist innerhalb von 14 Tagen </a:t>
          </a:r>
          <a:r>
            <a:rPr lang="de-DE" sz="1100" b="1" i="0" u="none" strike="noStrike" baseline="0">
              <a:solidFill>
                <a:srgbClr val="000000"/>
              </a:solidFill>
              <a:latin typeface="Arial"/>
              <a:cs typeface="Arial"/>
            </a:rPr>
            <a:t>schriftlich</a:t>
          </a:r>
          <a:r>
            <a:rPr lang="de-DE" sz="1100" b="0" i="0" u="none" strike="noStrike" baseline="0">
              <a:solidFill>
                <a:srgbClr val="000000"/>
              </a:solidFill>
              <a:latin typeface="Arial"/>
              <a:cs typeface="Arial"/>
            </a:rPr>
            <a:t> an den Bezirksverband der Gartenfreunde Pankow e.V. zu richten.</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5</xdr:col>
      <xdr:colOff>218538</xdr:colOff>
      <xdr:row>85</xdr:row>
      <xdr:rowOff>17333</xdr:rowOff>
    </xdr:from>
    <xdr:to>
      <xdr:col>6</xdr:col>
      <xdr:colOff>527908</xdr:colOff>
      <xdr:row>87</xdr:row>
      <xdr:rowOff>60907</xdr:rowOff>
    </xdr:to>
    <xdr:sp macro="" textlink="">
      <xdr:nvSpPr>
        <xdr:cNvPr id="2" name="Text Box 79" hidden="1">
          <a:extLst>
            <a:ext uri="{FF2B5EF4-FFF2-40B4-BE49-F238E27FC236}">
              <a16:creationId xmlns:a16="http://schemas.microsoft.com/office/drawing/2014/main" id="{00000000-0008-0000-1000-000002000000}"/>
            </a:ext>
          </a:extLst>
        </xdr:cNvPr>
        <xdr:cNvSpPr txBox="1">
          <a:spLocks noChangeArrowheads="1"/>
        </xdr:cNvSpPr>
      </xdr:nvSpPr>
      <xdr:spPr bwMode="auto">
        <a:xfrm>
          <a:off x="5369658" y="17025173"/>
          <a:ext cx="789430" cy="394094"/>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9" name="Textfeld 8">
          <a:extLst>
            <a:ext uri="{FF2B5EF4-FFF2-40B4-BE49-F238E27FC236}">
              <a16:creationId xmlns:a16="http://schemas.microsoft.com/office/drawing/2014/main" id="{00000000-0008-0000-1100-000009000000}"/>
            </a:ext>
          </a:extLst>
        </xdr:cNvPr>
        <xdr:cNvSpPr txBox="1"/>
      </xdr:nvSpPr>
      <xdr:spPr>
        <a:xfrm>
          <a:off x="4008120" y="2141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375285</xdr:colOff>
      <xdr:row>10</xdr:row>
      <xdr:rowOff>30480</xdr:rowOff>
    </xdr:from>
    <xdr:to>
      <xdr:col>6</xdr:col>
      <xdr:colOff>556260</xdr:colOff>
      <xdr:row>39</xdr:row>
      <xdr:rowOff>160020</xdr:rowOff>
    </xdr:to>
    <xdr:sp macro="" textlink="">
      <xdr:nvSpPr>
        <xdr:cNvPr id="2" name="Rechteck 3"/>
        <xdr:cNvSpPr/>
      </xdr:nvSpPr>
      <xdr:spPr>
        <a:xfrm>
          <a:off x="556260" y="2011680"/>
          <a:ext cx="5257800" cy="5654040"/>
        </a:xfrm>
        <a:prstGeom prst="rect">
          <a:avLst/>
        </a:prstGeom>
        <a:solidFill>
          <a:srgbClr val="C5E0B4"/>
        </a:solidFill>
        <a:ln w="9525">
          <a:solidFill>
            <a:srgbClr val="595959"/>
          </a:solidFill>
        </a:ln>
      </xdr:spPr>
    </xdr:sp>
    <xdr:clientData/>
  </xdr:twoCellAnchor>
  <xdr:twoCellAnchor editAs="oneCell">
    <xdr:from>
      <xdr:col>5</xdr:col>
      <xdr:colOff>129540</xdr:colOff>
      <xdr:row>12</xdr:row>
      <xdr:rowOff>30480</xdr:rowOff>
    </xdr:from>
    <xdr:to>
      <xdr:col>5</xdr:col>
      <xdr:colOff>314271</xdr:colOff>
      <xdr:row>13</xdr:row>
      <xdr:rowOff>104540</xdr:rowOff>
    </xdr:to>
    <xdr:sp macro="" textlink="">
      <xdr:nvSpPr>
        <xdr:cNvPr id="3" name="Textfeld 1"/>
        <xdr:cNvSpPr txBox="1"/>
      </xdr:nvSpPr>
      <xdr:spPr>
        <a:xfrm>
          <a:off x="4739640" y="2392680"/>
          <a:ext cx="184731" cy="264560"/>
        </a:xfrm>
        <a:prstGeom prst="rect">
          <a:avLst/>
        </a:prstGeom>
        <a:noFill/>
      </xdr:spPr>
      <xdr:txBody>
        <a:bodyPr wrap="none" rtlCol="0" anchor="t"/>
        <a:lstStyle/>
        <a:p>
          <a:endParaRPr lang="de-DE" sz="1100"/>
        </a:p>
      </xdr:txBody>
    </xdr:sp>
    <xdr:clientData/>
  </xdr:twoCellAnchor>
  <xdr:twoCellAnchor editAs="oneCell">
    <xdr:from>
      <xdr:col>5</xdr:col>
      <xdr:colOff>137160</xdr:colOff>
      <xdr:row>12</xdr:row>
      <xdr:rowOff>30480</xdr:rowOff>
    </xdr:from>
    <xdr:to>
      <xdr:col>5</xdr:col>
      <xdr:colOff>321891</xdr:colOff>
      <xdr:row>13</xdr:row>
      <xdr:rowOff>104540</xdr:rowOff>
    </xdr:to>
    <xdr:sp macro="" textlink="">
      <xdr:nvSpPr>
        <xdr:cNvPr id="4" name="Textfeld 2"/>
        <xdr:cNvSpPr txBox="1"/>
      </xdr:nvSpPr>
      <xdr:spPr>
        <a:xfrm>
          <a:off x="4747260" y="2392680"/>
          <a:ext cx="184731" cy="264560"/>
        </a:xfrm>
        <a:prstGeom prst="rect">
          <a:avLst/>
        </a:prstGeom>
        <a:noFill/>
      </xdr:spPr>
      <xdr:txBody>
        <a:bodyPr wrap="none" rtlCol="0" anchor="t"/>
        <a:lstStyle/>
        <a:p>
          <a:endParaRPr lang="de-DE" sz="1100"/>
        </a:p>
      </xdr:txBody>
    </xdr:sp>
    <xdr:clientData/>
  </xdr:twoCellAnchor>
  <xdr:twoCellAnchor editAs="oneCell">
    <xdr:from>
      <xdr:col>11</xdr:col>
      <xdr:colOff>266700</xdr:colOff>
      <xdr:row>38</xdr:row>
      <xdr:rowOff>83820</xdr:rowOff>
    </xdr:from>
    <xdr:to>
      <xdr:col>11</xdr:col>
      <xdr:colOff>266700</xdr:colOff>
      <xdr:row>40</xdr:row>
      <xdr:rowOff>121920</xdr:rowOff>
    </xdr:to>
    <xdr:cxnSp macro="">
      <xdr:nvCxnSpPr>
        <xdr:cNvPr id="5" name="Gerader Verbinder 4"/>
        <xdr:cNvCxnSpPr/>
      </xdr:nvCxnSpPr>
      <xdr:spPr>
        <a:xfrm flipV="1">
          <a:off x="8801100" y="7399020"/>
          <a:ext cx="0" cy="419100"/>
        </a:xfrm>
        <a:prstGeom prst="straightConnector1">
          <a:avLst/>
        </a:prstGeom>
        <a:ln w="9525">
          <a:solidFill>
            <a:srgbClr val="262626"/>
          </a:solidFill>
        </a:ln>
      </xdr:spPr>
    </xdr:cxnSp>
    <xdr:clientData/>
  </xdr:twoCellAnchor>
  <xdr:twoCellAnchor editAs="oneCell">
    <xdr:from>
      <xdr:col>10</xdr:col>
      <xdr:colOff>611505</xdr:colOff>
      <xdr:row>38</xdr:row>
      <xdr:rowOff>76200</xdr:rowOff>
    </xdr:from>
    <xdr:to>
      <xdr:col>11</xdr:col>
      <xdr:colOff>266700</xdr:colOff>
      <xdr:row>40</xdr:row>
      <xdr:rowOff>129540</xdr:rowOff>
    </xdr:to>
    <xdr:cxnSp macro="">
      <xdr:nvCxnSpPr>
        <xdr:cNvPr id="6" name="Gerader Verbinder 5"/>
        <xdr:cNvCxnSpPr/>
      </xdr:nvCxnSpPr>
      <xdr:spPr>
        <a:xfrm flipH="1">
          <a:off x="8374380" y="7391400"/>
          <a:ext cx="426720" cy="434340"/>
        </a:xfrm>
        <a:prstGeom prst="straightConnector1">
          <a:avLst/>
        </a:prstGeom>
        <a:ln w="9525">
          <a:solidFill>
            <a:srgbClr val="262626"/>
          </a:solidFill>
        </a:ln>
      </xdr:spPr>
    </xdr:cxnSp>
    <xdr:clientData/>
  </xdr:twoCellAnchor>
  <xdr:twoCellAnchor editAs="oneCell">
    <xdr:from>
      <xdr:col>10</xdr:col>
      <xdr:colOff>428625</xdr:colOff>
      <xdr:row>40</xdr:row>
      <xdr:rowOff>121920</xdr:rowOff>
    </xdr:from>
    <xdr:to>
      <xdr:col>11</xdr:col>
      <xdr:colOff>601205</xdr:colOff>
      <xdr:row>42</xdr:row>
      <xdr:rowOff>5480</xdr:rowOff>
    </xdr:to>
    <xdr:sp macro="" textlink="">
      <xdr:nvSpPr>
        <xdr:cNvPr id="7" name="Textfeld 6"/>
        <xdr:cNvSpPr txBox="1"/>
      </xdr:nvSpPr>
      <xdr:spPr>
        <a:xfrm>
          <a:off x="8191500" y="7818120"/>
          <a:ext cx="944105" cy="264560"/>
        </a:xfrm>
        <a:prstGeom prst="rect">
          <a:avLst/>
        </a:prstGeom>
        <a:noFill/>
      </xdr:spPr>
      <xdr:txBody>
        <a:bodyPr wrap="none" rtlCol="0" anchor="ctr"/>
        <a:lstStyle/>
        <a:p>
          <a:pPr algn="ctr"/>
          <a:r>
            <a:rPr lang="de-DE" sz="1100"/>
            <a:t>Zugang Parz.</a:t>
          </a:r>
        </a:p>
      </xdr:txBody>
    </xdr:sp>
    <xdr:clientData/>
  </xdr:twoCellAnchor>
  <xdr:twoCellAnchor editAs="oneCell">
    <xdr:from>
      <xdr:col>11</xdr:col>
      <xdr:colOff>693420</xdr:colOff>
      <xdr:row>27</xdr:row>
      <xdr:rowOff>160020</xdr:rowOff>
    </xdr:from>
    <xdr:to>
      <xdr:col>12</xdr:col>
      <xdr:colOff>417195</xdr:colOff>
      <xdr:row>29</xdr:row>
      <xdr:rowOff>129540</xdr:rowOff>
    </xdr:to>
    <xdr:sp macro="" textlink="">
      <xdr:nvSpPr>
        <xdr:cNvPr id="8" name="Ellipse 7"/>
        <xdr:cNvSpPr/>
      </xdr:nvSpPr>
      <xdr:spPr>
        <a:xfrm>
          <a:off x="9227820" y="5379720"/>
          <a:ext cx="495300" cy="350520"/>
        </a:xfrm>
        <a:prstGeom prst="ellipse">
          <a:avLst/>
        </a:prstGeom>
        <a:solidFill>
          <a:srgbClr val="E7E6E6"/>
        </a:solidFill>
        <a:ln w="9525">
          <a:solidFill>
            <a:srgbClr val="262626"/>
          </a:solidFill>
        </a:ln>
      </xdr:spPr>
    </xdr:sp>
    <xdr:clientData/>
  </xdr:twoCellAnchor>
  <xdr:twoCellAnchor editAs="oneCell">
    <xdr:from>
      <xdr:col>2</xdr:col>
      <xdr:colOff>922020</xdr:colOff>
      <xdr:row>27</xdr:row>
      <xdr:rowOff>121920</xdr:rowOff>
    </xdr:from>
    <xdr:to>
      <xdr:col>3</xdr:col>
      <xdr:colOff>1836420</xdr:colOff>
      <xdr:row>33</xdr:row>
      <xdr:rowOff>137160</xdr:rowOff>
    </xdr:to>
    <xdr:sp macro="" textlink="">
      <xdr:nvSpPr>
        <xdr:cNvPr id="9" name="Rechteck 8"/>
        <xdr:cNvSpPr/>
      </xdr:nvSpPr>
      <xdr:spPr>
        <a:xfrm>
          <a:off x="1531620" y="5341620"/>
          <a:ext cx="2133600" cy="1158240"/>
        </a:xfrm>
        <a:prstGeom prst="rect">
          <a:avLst/>
        </a:prstGeom>
        <a:solidFill>
          <a:srgbClr val="E7E6E6"/>
        </a:solidFill>
        <a:ln w="9525">
          <a:solidFill>
            <a:srgbClr val="262626"/>
          </a:solidFill>
        </a:ln>
      </xdr:spPr>
    </xdr:sp>
    <xdr:clientData/>
  </xdr:twoCellAnchor>
  <xdr:twoCellAnchor editAs="oneCell">
    <xdr:from>
      <xdr:col>3</xdr:col>
      <xdr:colOff>1684020</xdr:colOff>
      <xdr:row>28</xdr:row>
      <xdr:rowOff>83820</xdr:rowOff>
    </xdr:from>
    <xdr:to>
      <xdr:col>5</xdr:col>
      <xdr:colOff>53340</xdr:colOff>
      <xdr:row>32</xdr:row>
      <xdr:rowOff>182880</xdr:rowOff>
    </xdr:to>
    <xdr:sp macro="" textlink="">
      <xdr:nvSpPr>
        <xdr:cNvPr id="10" name="Rechteck 9"/>
        <xdr:cNvSpPr/>
      </xdr:nvSpPr>
      <xdr:spPr>
        <a:xfrm>
          <a:off x="3512820" y="5494020"/>
          <a:ext cx="1150620" cy="861060"/>
        </a:xfrm>
        <a:prstGeom prst="rect">
          <a:avLst/>
        </a:prstGeom>
        <a:solidFill>
          <a:srgbClr val="E7E6E6"/>
        </a:solidFill>
        <a:ln w="9525">
          <a:solidFill>
            <a:srgbClr val="262626"/>
          </a:solidFill>
        </a:ln>
      </xdr:spPr>
    </xdr:sp>
    <xdr:clientData/>
  </xdr:twoCellAnchor>
  <xdr:twoCellAnchor editAs="oneCell">
    <xdr:from>
      <xdr:col>10</xdr:col>
      <xdr:colOff>619125</xdr:colOff>
      <xdr:row>18</xdr:row>
      <xdr:rowOff>0</xdr:rowOff>
    </xdr:from>
    <xdr:to>
      <xdr:col>12</xdr:col>
      <xdr:colOff>386715</xdr:colOff>
      <xdr:row>24</xdr:row>
      <xdr:rowOff>38100</xdr:rowOff>
    </xdr:to>
    <xdr:sp macro="" textlink="">
      <xdr:nvSpPr>
        <xdr:cNvPr id="11" name="Rechteck 10"/>
        <xdr:cNvSpPr/>
      </xdr:nvSpPr>
      <xdr:spPr>
        <a:xfrm>
          <a:off x="8382000" y="3505200"/>
          <a:ext cx="1310640" cy="1181100"/>
        </a:xfrm>
        <a:prstGeom prst="rect">
          <a:avLst/>
        </a:prstGeom>
        <a:solidFill>
          <a:srgbClr val="E7E6E6"/>
        </a:solidFill>
        <a:ln w="9525">
          <a:solidFill>
            <a:srgbClr val="262626"/>
          </a:solidFill>
        </a:ln>
      </xdr:spPr>
    </xdr:sp>
    <xdr:clientData/>
  </xdr:twoCellAnchor>
  <xdr:twoCellAnchor editAs="oneCell">
    <xdr:from>
      <xdr:col>11</xdr:col>
      <xdr:colOff>708660</xdr:colOff>
      <xdr:row>32</xdr:row>
      <xdr:rowOff>38100</xdr:rowOff>
    </xdr:from>
    <xdr:to>
      <xdr:col>12</xdr:col>
      <xdr:colOff>310515</xdr:colOff>
      <xdr:row>33</xdr:row>
      <xdr:rowOff>160020</xdr:rowOff>
    </xdr:to>
    <xdr:sp macro="" textlink="">
      <xdr:nvSpPr>
        <xdr:cNvPr id="12" name="Rechteck 11"/>
        <xdr:cNvSpPr/>
      </xdr:nvSpPr>
      <xdr:spPr>
        <a:xfrm>
          <a:off x="9243060" y="6210300"/>
          <a:ext cx="373380" cy="312420"/>
        </a:xfrm>
        <a:prstGeom prst="rect">
          <a:avLst/>
        </a:prstGeom>
        <a:solidFill>
          <a:srgbClr val="E7E6E6"/>
        </a:solidFill>
        <a:ln w="9525">
          <a:solidFill>
            <a:srgbClr val="262626"/>
          </a:solidFill>
        </a:ln>
      </xdr:spPr>
    </xdr:sp>
    <xdr:clientData/>
  </xdr:twoCellAnchor>
  <xdr:twoCellAnchor editAs="oneCell">
    <xdr:from>
      <xdr:col>11</xdr:col>
      <xdr:colOff>708660</xdr:colOff>
      <xdr:row>34</xdr:row>
      <xdr:rowOff>167640</xdr:rowOff>
    </xdr:from>
    <xdr:to>
      <xdr:col>12</xdr:col>
      <xdr:colOff>441440</xdr:colOff>
      <xdr:row>36</xdr:row>
      <xdr:rowOff>98136</xdr:rowOff>
    </xdr:to>
    <xdr:sp macro="" textlink="">
      <xdr:nvSpPr>
        <xdr:cNvPr id="13" name="Textfeld 12"/>
        <xdr:cNvSpPr txBox="1"/>
      </xdr:nvSpPr>
      <xdr:spPr>
        <a:xfrm>
          <a:off x="9243060" y="6720840"/>
          <a:ext cx="504305" cy="311496"/>
        </a:xfrm>
        <a:prstGeom prst="rect">
          <a:avLst/>
        </a:prstGeom>
        <a:noFill/>
      </xdr:spPr>
      <xdr:txBody>
        <a:bodyPr wrap="none" rtlCol="0" anchor="ctr"/>
        <a:lstStyle/>
        <a:p>
          <a:pPr algn="ctr"/>
          <a:r>
            <a:rPr lang="de-DE" sz="1100"/>
            <a:t>WM</a:t>
          </a:r>
        </a:p>
      </xdr:txBody>
    </xdr:sp>
    <xdr:clientData/>
  </xdr:twoCellAnchor>
  <xdr:twoCellAnchor editAs="oneCell">
    <xdr:from>
      <xdr:col>11</xdr:col>
      <xdr:colOff>716280</xdr:colOff>
      <xdr:row>29</xdr:row>
      <xdr:rowOff>129540</xdr:rowOff>
    </xdr:from>
    <xdr:to>
      <xdr:col>12</xdr:col>
      <xdr:colOff>437454</xdr:colOff>
      <xdr:row>31</xdr:row>
      <xdr:rowOff>60036</xdr:rowOff>
    </xdr:to>
    <xdr:sp macro="" textlink="">
      <xdr:nvSpPr>
        <xdr:cNvPr id="14" name="Textfeld 13"/>
        <xdr:cNvSpPr txBox="1"/>
      </xdr:nvSpPr>
      <xdr:spPr>
        <a:xfrm>
          <a:off x="9250680" y="5730240"/>
          <a:ext cx="492699" cy="311496"/>
        </a:xfrm>
        <a:prstGeom prst="rect">
          <a:avLst/>
        </a:prstGeom>
        <a:noFill/>
      </xdr:spPr>
      <xdr:txBody>
        <a:bodyPr wrap="none" rtlCol="0" anchor="ctr"/>
        <a:lstStyle/>
        <a:p>
          <a:pPr algn="ctr"/>
          <a:r>
            <a:rPr lang="de-DE" sz="1100"/>
            <a:t>ASG</a:t>
          </a:r>
        </a:p>
      </xdr:txBody>
    </xdr:sp>
    <xdr:clientData/>
  </xdr:twoCellAnchor>
  <xdr:twoCellAnchor editAs="oneCell">
    <xdr:from>
      <xdr:col>4</xdr:col>
      <xdr:colOff>207645</xdr:colOff>
      <xdr:row>29</xdr:row>
      <xdr:rowOff>68580</xdr:rowOff>
    </xdr:from>
    <xdr:to>
      <xdr:col>4</xdr:col>
      <xdr:colOff>620643</xdr:colOff>
      <xdr:row>31</xdr:row>
      <xdr:rowOff>30366</xdr:rowOff>
    </xdr:to>
    <xdr:sp macro="" textlink="">
      <xdr:nvSpPr>
        <xdr:cNvPr id="15" name="Textfeld 14"/>
        <xdr:cNvSpPr txBox="1"/>
      </xdr:nvSpPr>
      <xdr:spPr>
        <a:xfrm>
          <a:off x="3893820" y="5669280"/>
          <a:ext cx="412998" cy="342786"/>
        </a:xfrm>
        <a:prstGeom prst="rect">
          <a:avLst/>
        </a:prstGeom>
        <a:noFill/>
      </xdr:spPr>
      <xdr:txBody>
        <a:bodyPr wrap="none" rtlCol="0" anchor="ctr"/>
        <a:lstStyle/>
        <a:p>
          <a:pPr algn="ctr"/>
          <a:r>
            <a:rPr lang="de-DE" sz="1100"/>
            <a:t>A1</a:t>
          </a:r>
        </a:p>
      </xdr:txBody>
    </xdr:sp>
    <xdr:clientData/>
  </xdr:twoCellAnchor>
  <xdr:twoCellAnchor editAs="oneCell">
    <xdr:from>
      <xdr:col>3</xdr:col>
      <xdr:colOff>701040</xdr:colOff>
      <xdr:row>29</xdr:row>
      <xdr:rowOff>83820</xdr:rowOff>
    </xdr:from>
    <xdr:to>
      <xdr:col>3</xdr:col>
      <xdr:colOff>972461</xdr:colOff>
      <xdr:row>31</xdr:row>
      <xdr:rowOff>45606</xdr:rowOff>
    </xdr:to>
    <xdr:sp macro="" textlink="">
      <xdr:nvSpPr>
        <xdr:cNvPr id="16" name="Textfeld 15"/>
        <xdr:cNvSpPr txBox="1"/>
      </xdr:nvSpPr>
      <xdr:spPr>
        <a:xfrm>
          <a:off x="2529840" y="5684520"/>
          <a:ext cx="271421" cy="342786"/>
        </a:xfrm>
        <a:prstGeom prst="rect">
          <a:avLst/>
        </a:prstGeom>
        <a:noFill/>
      </xdr:spPr>
      <xdr:txBody>
        <a:bodyPr wrap="none" rtlCol="0" anchor="ctr"/>
        <a:lstStyle/>
        <a:p>
          <a:pPr algn="ctr"/>
          <a:r>
            <a:rPr lang="de-DE" sz="1100"/>
            <a:t>L</a:t>
          </a:r>
        </a:p>
      </xdr:txBody>
    </xdr:sp>
    <xdr:clientData/>
  </xdr:twoCellAnchor>
  <xdr:twoCellAnchor editAs="oneCell">
    <xdr:from>
      <xdr:col>8</xdr:col>
      <xdr:colOff>325755</xdr:colOff>
      <xdr:row>15</xdr:row>
      <xdr:rowOff>106680</xdr:rowOff>
    </xdr:from>
    <xdr:to>
      <xdr:col>8</xdr:col>
      <xdr:colOff>531495</xdr:colOff>
      <xdr:row>16</xdr:row>
      <xdr:rowOff>129540</xdr:rowOff>
    </xdr:to>
    <xdr:sp macro="" textlink="">
      <xdr:nvSpPr>
        <xdr:cNvPr id="17" name="Rechteck 16"/>
        <xdr:cNvSpPr/>
      </xdr:nvSpPr>
      <xdr:spPr>
        <a:xfrm>
          <a:off x="6545580" y="3040380"/>
          <a:ext cx="205740" cy="213360"/>
        </a:xfrm>
        <a:prstGeom prst="rect">
          <a:avLst/>
        </a:prstGeom>
        <a:solidFill>
          <a:srgbClr val="E7E6E6"/>
        </a:solidFill>
        <a:ln w="9525">
          <a:solidFill>
            <a:srgbClr val="262626"/>
          </a:solidFill>
        </a:ln>
      </xdr:spPr>
    </xdr:sp>
    <xdr:clientData/>
  </xdr:twoCellAnchor>
  <xdr:twoCellAnchor editAs="oneCell">
    <xdr:from>
      <xdr:col>9</xdr:col>
      <xdr:colOff>34290</xdr:colOff>
      <xdr:row>16</xdr:row>
      <xdr:rowOff>38100</xdr:rowOff>
    </xdr:from>
    <xdr:to>
      <xdr:col>9</xdr:col>
      <xdr:colOff>209550</xdr:colOff>
      <xdr:row>17</xdr:row>
      <xdr:rowOff>38100</xdr:rowOff>
    </xdr:to>
    <xdr:cxnSp macro="">
      <xdr:nvCxnSpPr>
        <xdr:cNvPr id="18" name="Gerader Verbinder 17"/>
        <xdr:cNvCxnSpPr/>
      </xdr:nvCxnSpPr>
      <xdr:spPr>
        <a:xfrm>
          <a:off x="7025640" y="3162300"/>
          <a:ext cx="175260" cy="190500"/>
        </a:xfrm>
        <a:prstGeom prst="straightConnector1">
          <a:avLst/>
        </a:prstGeom>
        <a:ln w="9525">
          <a:solidFill>
            <a:srgbClr val="262626"/>
          </a:solidFill>
        </a:ln>
      </xdr:spPr>
    </xdr:cxnSp>
    <xdr:clientData/>
  </xdr:twoCellAnchor>
  <xdr:twoCellAnchor editAs="oneCell">
    <xdr:from>
      <xdr:col>8</xdr:col>
      <xdr:colOff>676275</xdr:colOff>
      <xdr:row>15</xdr:row>
      <xdr:rowOff>114300</xdr:rowOff>
    </xdr:from>
    <xdr:to>
      <xdr:col>9</xdr:col>
      <xdr:colOff>80010</xdr:colOff>
      <xdr:row>16</xdr:row>
      <xdr:rowOff>83820</xdr:rowOff>
    </xdr:to>
    <xdr:cxnSp macro="">
      <xdr:nvCxnSpPr>
        <xdr:cNvPr id="19" name="Gerader Verbinder 18"/>
        <xdr:cNvCxnSpPr/>
      </xdr:nvCxnSpPr>
      <xdr:spPr>
        <a:xfrm flipH="1">
          <a:off x="6896100" y="3048000"/>
          <a:ext cx="175260" cy="160020"/>
        </a:xfrm>
        <a:prstGeom prst="straightConnector1">
          <a:avLst/>
        </a:prstGeom>
        <a:ln w="9525">
          <a:solidFill>
            <a:srgbClr val="262626"/>
          </a:solidFill>
        </a:ln>
      </xdr:spPr>
    </xdr:cxnSp>
    <xdr:clientData/>
  </xdr:twoCellAnchor>
  <xdr:twoCellAnchor editAs="oneCell">
    <xdr:from>
      <xdr:col>9</xdr:col>
      <xdr:colOff>209550</xdr:colOff>
      <xdr:row>14</xdr:row>
      <xdr:rowOff>175260</xdr:rowOff>
    </xdr:from>
    <xdr:to>
      <xdr:col>10</xdr:col>
      <xdr:colOff>309610</xdr:colOff>
      <xdr:row>17</xdr:row>
      <xdr:rowOff>40546</xdr:rowOff>
    </xdr:to>
    <xdr:sp macro="" textlink="">
      <xdr:nvSpPr>
        <xdr:cNvPr id="20" name="Textfeld 19"/>
        <xdr:cNvSpPr txBox="1"/>
      </xdr:nvSpPr>
      <xdr:spPr>
        <a:xfrm>
          <a:off x="7200900" y="2918460"/>
          <a:ext cx="871585" cy="436786"/>
        </a:xfrm>
        <a:prstGeom prst="rect">
          <a:avLst/>
        </a:prstGeom>
        <a:noFill/>
      </xdr:spPr>
      <xdr:txBody>
        <a:bodyPr wrap="none" rtlCol="0" anchor="ctr"/>
        <a:lstStyle/>
        <a:p>
          <a:pPr algn="ctr"/>
          <a:r>
            <a:rPr lang="de-DE" sz="1100"/>
            <a:t>Schornstein geschlossen</a:t>
          </a:r>
        </a:p>
      </xdr:txBody>
    </xdr:sp>
    <xdr:clientData/>
  </xdr:twoCellAnchor>
  <xdr:twoCellAnchor editAs="oneCell">
    <xdr:from>
      <xdr:col>3</xdr:col>
      <xdr:colOff>434340</xdr:colOff>
      <xdr:row>30</xdr:row>
      <xdr:rowOff>99060</xdr:rowOff>
    </xdr:from>
    <xdr:to>
      <xdr:col>3</xdr:col>
      <xdr:colOff>1306374</xdr:colOff>
      <xdr:row>31</xdr:row>
      <xdr:rowOff>173120</xdr:rowOff>
    </xdr:to>
    <xdr:sp macro="" textlink="">
      <xdr:nvSpPr>
        <xdr:cNvPr id="21" name="Textfeld 20"/>
        <xdr:cNvSpPr txBox="1"/>
      </xdr:nvSpPr>
      <xdr:spPr>
        <a:xfrm>
          <a:off x="2263140" y="5890260"/>
          <a:ext cx="872034" cy="264560"/>
        </a:xfrm>
        <a:prstGeom prst="rect">
          <a:avLst/>
        </a:prstGeom>
        <a:noFill/>
      </xdr:spPr>
      <xdr:txBody>
        <a:bodyPr wrap="none" rtlCol="0" anchor="ctr"/>
        <a:lstStyle/>
        <a:p>
          <a:pPr algn="ctr"/>
          <a:r>
            <a:rPr lang="de-DE" sz="1100"/>
            <a:t>FOK=+46cm</a:t>
          </a:r>
        </a:p>
      </xdr:txBody>
    </xdr:sp>
    <xdr:clientData/>
  </xdr:twoCellAnchor>
  <xdr:twoCellAnchor editAs="oneCell">
    <xdr:from>
      <xdr:col>2</xdr:col>
      <xdr:colOff>922020</xdr:colOff>
      <xdr:row>23</xdr:row>
      <xdr:rowOff>76200</xdr:rowOff>
    </xdr:from>
    <xdr:to>
      <xdr:col>3</xdr:col>
      <xdr:colOff>1828800</xdr:colOff>
      <xdr:row>27</xdr:row>
      <xdr:rowOff>129540</xdr:rowOff>
    </xdr:to>
    <xdr:sp macro="" textlink="">
      <xdr:nvSpPr>
        <xdr:cNvPr id="22" name="Rechteck 21"/>
        <xdr:cNvSpPr/>
      </xdr:nvSpPr>
      <xdr:spPr>
        <a:xfrm>
          <a:off x="1531620" y="4533900"/>
          <a:ext cx="2125980" cy="815340"/>
        </a:xfrm>
        <a:prstGeom prst="rect">
          <a:avLst/>
        </a:prstGeom>
        <a:solidFill>
          <a:srgbClr val="E7E6E6"/>
        </a:solidFill>
        <a:ln w="9525">
          <a:solidFill>
            <a:srgbClr val="262626"/>
          </a:solidFill>
        </a:ln>
      </xdr:spPr>
    </xdr:sp>
    <xdr:clientData/>
  </xdr:twoCellAnchor>
  <xdr:twoCellAnchor editAs="oneCell">
    <xdr:from>
      <xdr:col>3</xdr:col>
      <xdr:colOff>777240</xdr:colOff>
      <xdr:row>23</xdr:row>
      <xdr:rowOff>76200</xdr:rowOff>
    </xdr:from>
    <xdr:to>
      <xdr:col>3</xdr:col>
      <xdr:colOff>1501093</xdr:colOff>
      <xdr:row>24</xdr:row>
      <xdr:rowOff>165905</xdr:rowOff>
    </xdr:to>
    <xdr:sp macro="" textlink="">
      <xdr:nvSpPr>
        <xdr:cNvPr id="23" name="Textfeld 22"/>
        <xdr:cNvSpPr txBox="1"/>
      </xdr:nvSpPr>
      <xdr:spPr>
        <a:xfrm>
          <a:off x="2606040" y="4533900"/>
          <a:ext cx="723853" cy="280205"/>
        </a:xfrm>
        <a:prstGeom prst="rect">
          <a:avLst/>
        </a:prstGeom>
        <a:noFill/>
      </xdr:spPr>
      <xdr:txBody>
        <a:bodyPr wrap="none" rtlCol="0" anchor="ctr"/>
        <a:lstStyle/>
        <a:p>
          <a:pPr algn="ctr"/>
          <a:r>
            <a:rPr lang="de-DE" sz="1100"/>
            <a:t>Terrasse</a:t>
          </a:r>
        </a:p>
      </xdr:txBody>
    </xdr:sp>
    <xdr:clientData/>
  </xdr:twoCellAnchor>
  <xdr:twoCellAnchor editAs="oneCell">
    <xdr:from>
      <xdr:col>11</xdr:col>
      <xdr:colOff>167640</xdr:colOff>
      <xdr:row>24</xdr:row>
      <xdr:rowOff>76200</xdr:rowOff>
    </xdr:from>
    <xdr:to>
      <xdr:col>11</xdr:col>
      <xdr:colOff>695028</xdr:colOff>
      <xdr:row>25</xdr:row>
      <xdr:rowOff>150260</xdr:rowOff>
    </xdr:to>
    <xdr:sp macro="" textlink="">
      <xdr:nvSpPr>
        <xdr:cNvPr id="24" name="Textfeld 23"/>
        <xdr:cNvSpPr txBox="1"/>
      </xdr:nvSpPr>
      <xdr:spPr>
        <a:xfrm>
          <a:off x="8702040" y="4724400"/>
          <a:ext cx="527388" cy="264560"/>
        </a:xfrm>
        <a:prstGeom prst="rect">
          <a:avLst/>
        </a:prstGeom>
        <a:noFill/>
      </xdr:spPr>
      <xdr:txBody>
        <a:bodyPr wrap="none" rtlCol="0" anchor="ctr"/>
        <a:lstStyle/>
        <a:p>
          <a:pPr algn="ctr"/>
          <a:r>
            <a:rPr lang="de-DE" sz="1100"/>
            <a:t>Beton</a:t>
          </a:r>
        </a:p>
      </xdr:txBody>
    </xdr:sp>
    <xdr:clientData/>
  </xdr:twoCellAnchor>
  <xdr:twoCellAnchor editAs="oneCell">
    <xdr:from>
      <xdr:col>8</xdr:col>
      <xdr:colOff>653415</xdr:colOff>
      <xdr:row>30</xdr:row>
      <xdr:rowOff>0</xdr:rowOff>
    </xdr:from>
    <xdr:to>
      <xdr:col>9</xdr:col>
      <xdr:colOff>66621</xdr:colOff>
      <xdr:row>31</xdr:row>
      <xdr:rowOff>74060</xdr:rowOff>
    </xdr:to>
    <xdr:sp macro="" textlink="">
      <xdr:nvSpPr>
        <xdr:cNvPr id="25" name="Textfeld 24"/>
        <xdr:cNvSpPr txBox="1"/>
      </xdr:nvSpPr>
      <xdr:spPr>
        <a:xfrm>
          <a:off x="6873240" y="5791200"/>
          <a:ext cx="184731" cy="264560"/>
        </a:xfrm>
        <a:prstGeom prst="rect">
          <a:avLst/>
        </a:prstGeom>
        <a:noFill/>
      </xdr:spPr>
      <xdr:txBody>
        <a:bodyPr wrap="none" rtlCol="0" anchor="t"/>
        <a:lstStyle/>
        <a:p>
          <a:endParaRPr lang="de-DE" sz="1100"/>
        </a:p>
      </xdr:txBody>
    </xdr:sp>
    <xdr:clientData/>
  </xdr:twoCellAnchor>
  <xdr:twoCellAnchor editAs="oneCell">
    <xdr:from>
      <xdr:col>3</xdr:col>
      <xdr:colOff>419100</xdr:colOff>
      <xdr:row>24</xdr:row>
      <xdr:rowOff>76200</xdr:rowOff>
    </xdr:from>
    <xdr:to>
      <xdr:col>4</xdr:col>
      <xdr:colOff>27383</xdr:colOff>
      <xdr:row>25</xdr:row>
      <xdr:rowOff>150260</xdr:rowOff>
    </xdr:to>
    <xdr:sp macro="" textlink="">
      <xdr:nvSpPr>
        <xdr:cNvPr id="26" name="Textfeld 25"/>
        <xdr:cNvSpPr txBox="1"/>
      </xdr:nvSpPr>
      <xdr:spPr>
        <a:xfrm>
          <a:off x="2247900" y="4724400"/>
          <a:ext cx="1465658" cy="264560"/>
        </a:xfrm>
        <a:prstGeom prst="rect">
          <a:avLst/>
        </a:prstGeom>
        <a:noFill/>
      </xdr:spPr>
      <xdr:txBody>
        <a:bodyPr wrap="none" rtlCol="0" anchor="ctr"/>
        <a:lstStyle/>
        <a:p>
          <a:pPr algn="ctr"/>
          <a:r>
            <a:rPr lang="de-DE" sz="1100"/>
            <a:t>Gehwegplatten/Beton</a:t>
          </a:r>
        </a:p>
      </xdr:txBody>
    </xdr:sp>
    <xdr:clientData/>
  </xdr:twoCellAnchor>
  <xdr:twoCellAnchor editAs="oneCell">
    <xdr:from>
      <xdr:col>11</xdr:col>
      <xdr:colOff>281940</xdr:colOff>
      <xdr:row>19</xdr:row>
      <xdr:rowOff>144780</xdr:rowOff>
    </xdr:from>
    <xdr:to>
      <xdr:col>11</xdr:col>
      <xdr:colOff>694938</xdr:colOff>
      <xdr:row>21</xdr:row>
      <xdr:rowOff>106566</xdr:rowOff>
    </xdr:to>
    <xdr:sp macro="" textlink="">
      <xdr:nvSpPr>
        <xdr:cNvPr id="27" name="Textfeld 26"/>
        <xdr:cNvSpPr txBox="1"/>
      </xdr:nvSpPr>
      <xdr:spPr>
        <a:xfrm>
          <a:off x="8816340" y="3840480"/>
          <a:ext cx="412998" cy="342786"/>
        </a:xfrm>
        <a:prstGeom prst="rect">
          <a:avLst/>
        </a:prstGeom>
        <a:noFill/>
      </xdr:spPr>
      <xdr:txBody>
        <a:bodyPr wrap="none" rtlCol="0" anchor="ctr"/>
        <a:lstStyle/>
        <a:p>
          <a:pPr algn="ctr"/>
          <a:r>
            <a:rPr lang="de-DE" sz="1100"/>
            <a:t>A1</a:t>
          </a:r>
        </a:p>
      </xdr:txBody>
    </xdr:sp>
    <xdr:clientData/>
  </xdr:twoCellAnchor>
  <xdr:twoCellAnchor editAs="oneCell">
    <xdr:from>
      <xdr:col>2</xdr:col>
      <xdr:colOff>617220</xdr:colOff>
      <xdr:row>31</xdr:row>
      <xdr:rowOff>129540</xdr:rowOff>
    </xdr:from>
    <xdr:to>
      <xdr:col>2</xdr:col>
      <xdr:colOff>883920</xdr:colOff>
      <xdr:row>33</xdr:row>
      <xdr:rowOff>53340</xdr:rowOff>
    </xdr:to>
    <xdr:sp macro="" textlink="">
      <xdr:nvSpPr>
        <xdr:cNvPr id="28" name="Rechteck 27"/>
        <xdr:cNvSpPr/>
      </xdr:nvSpPr>
      <xdr:spPr>
        <a:xfrm>
          <a:off x="1226820" y="6111240"/>
          <a:ext cx="266700" cy="304800"/>
        </a:xfrm>
        <a:prstGeom prst="rect">
          <a:avLst/>
        </a:prstGeom>
        <a:solidFill>
          <a:srgbClr val="E7E6E6"/>
        </a:solidFill>
        <a:ln w="9525">
          <a:solidFill>
            <a:srgbClr val="262626"/>
          </a:solidFill>
        </a:ln>
      </xdr:spPr>
    </xdr:sp>
    <xdr:clientData/>
  </xdr:twoCellAnchor>
  <xdr:twoCellAnchor editAs="oneCell">
    <xdr:from>
      <xdr:col>2</xdr:col>
      <xdr:colOff>548640</xdr:colOff>
      <xdr:row>31</xdr:row>
      <xdr:rowOff>129540</xdr:rowOff>
    </xdr:from>
    <xdr:to>
      <xdr:col>2</xdr:col>
      <xdr:colOff>969846</xdr:colOff>
      <xdr:row>33</xdr:row>
      <xdr:rowOff>28745</xdr:rowOff>
    </xdr:to>
    <xdr:sp macro="" textlink="">
      <xdr:nvSpPr>
        <xdr:cNvPr id="29" name="Textfeld 28"/>
        <xdr:cNvSpPr txBox="1"/>
      </xdr:nvSpPr>
      <xdr:spPr>
        <a:xfrm>
          <a:off x="1158240" y="6111240"/>
          <a:ext cx="421206" cy="280205"/>
        </a:xfrm>
        <a:prstGeom prst="rect">
          <a:avLst/>
        </a:prstGeom>
        <a:noFill/>
      </xdr:spPr>
      <xdr:txBody>
        <a:bodyPr wrap="none" rtlCol="0" anchor="ctr"/>
        <a:lstStyle/>
        <a:p>
          <a:pPr algn="ctr"/>
          <a:r>
            <a:rPr lang="de-DE" sz="1100"/>
            <a:t>HW</a:t>
          </a:r>
        </a:p>
      </xdr:txBody>
    </xdr:sp>
    <xdr:clientData/>
  </xdr:twoCellAnchor>
  <xdr:twoCellAnchor editAs="oneCell">
    <xdr:from>
      <xdr:col>2</xdr:col>
      <xdr:colOff>297180</xdr:colOff>
      <xdr:row>33</xdr:row>
      <xdr:rowOff>15240</xdr:rowOff>
    </xdr:from>
    <xdr:to>
      <xdr:col>2</xdr:col>
      <xdr:colOff>965440</xdr:colOff>
      <xdr:row>34</xdr:row>
      <xdr:rowOff>89300</xdr:rowOff>
    </xdr:to>
    <xdr:sp macro="" textlink="">
      <xdr:nvSpPr>
        <xdr:cNvPr id="30" name="Textfeld 29"/>
        <xdr:cNvSpPr txBox="1"/>
      </xdr:nvSpPr>
      <xdr:spPr>
        <a:xfrm>
          <a:off x="906780" y="6377940"/>
          <a:ext cx="668260" cy="264560"/>
        </a:xfrm>
        <a:prstGeom prst="rect">
          <a:avLst/>
        </a:prstGeom>
        <a:noFill/>
      </xdr:spPr>
      <xdr:txBody>
        <a:bodyPr wrap="none" rtlCol="0" anchor="ctr"/>
        <a:lstStyle/>
        <a:p>
          <a:pPr algn="ctr"/>
          <a:r>
            <a:rPr lang="de-DE" sz="1100"/>
            <a:t>PVC-Box</a:t>
          </a:r>
        </a:p>
      </xdr:txBody>
    </xdr:sp>
    <xdr:clientData/>
  </xdr:twoCellAnchor>
  <xdr:twoCellAnchor editAs="oneCell">
    <xdr:from>
      <xdr:col>2</xdr:col>
      <xdr:colOff>83820</xdr:colOff>
      <xdr:row>29</xdr:row>
      <xdr:rowOff>38100</xdr:rowOff>
    </xdr:from>
    <xdr:to>
      <xdr:col>2</xdr:col>
      <xdr:colOff>518160</xdr:colOff>
      <xdr:row>31</xdr:row>
      <xdr:rowOff>91440</xdr:rowOff>
    </xdr:to>
    <xdr:sp macro="" textlink="">
      <xdr:nvSpPr>
        <xdr:cNvPr id="31" name="Ellipse 30"/>
        <xdr:cNvSpPr/>
      </xdr:nvSpPr>
      <xdr:spPr>
        <a:xfrm>
          <a:off x="693420" y="5638800"/>
          <a:ext cx="434340" cy="434340"/>
        </a:xfrm>
        <a:prstGeom prst="ellipse">
          <a:avLst/>
        </a:prstGeom>
        <a:solidFill>
          <a:srgbClr val="E7E6E6"/>
        </a:solidFill>
        <a:ln w="9525">
          <a:solidFill>
            <a:srgbClr val="262626"/>
          </a:solidFill>
        </a:ln>
      </xdr:spPr>
    </xdr:sp>
    <xdr:clientData/>
  </xdr:twoCellAnchor>
  <xdr:twoCellAnchor editAs="oneCell">
    <xdr:from>
      <xdr:col>2</xdr:col>
      <xdr:colOff>60960</xdr:colOff>
      <xdr:row>29</xdr:row>
      <xdr:rowOff>121920</xdr:rowOff>
    </xdr:from>
    <xdr:to>
      <xdr:col>2</xdr:col>
      <xdr:colOff>553659</xdr:colOff>
      <xdr:row>31</xdr:row>
      <xdr:rowOff>52416</xdr:rowOff>
    </xdr:to>
    <xdr:sp macro="" textlink="">
      <xdr:nvSpPr>
        <xdr:cNvPr id="32" name="Textfeld 31"/>
        <xdr:cNvSpPr txBox="1"/>
      </xdr:nvSpPr>
      <xdr:spPr>
        <a:xfrm>
          <a:off x="670560" y="5722620"/>
          <a:ext cx="492699" cy="311496"/>
        </a:xfrm>
        <a:prstGeom prst="rect">
          <a:avLst/>
        </a:prstGeom>
        <a:noFill/>
      </xdr:spPr>
      <xdr:txBody>
        <a:bodyPr wrap="none" rtlCol="0" anchor="ctr"/>
        <a:lstStyle/>
        <a:p>
          <a:pPr algn="ctr"/>
          <a:r>
            <a:rPr lang="de-DE" sz="1100"/>
            <a:t>ASG</a:t>
          </a:r>
        </a:p>
      </xdr:txBody>
    </xdr:sp>
    <xdr:clientData/>
  </xdr:twoCellAnchor>
  <xdr:twoCellAnchor editAs="oneCell">
    <xdr:from>
      <xdr:col>2</xdr:col>
      <xdr:colOff>30480</xdr:colOff>
      <xdr:row>37</xdr:row>
      <xdr:rowOff>76200</xdr:rowOff>
    </xdr:from>
    <xdr:to>
      <xdr:col>2</xdr:col>
      <xdr:colOff>30480</xdr:colOff>
      <xdr:row>39</xdr:row>
      <xdr:rowOff>152400</xdr:rowOff>
    </xdr:to>
    <xdr:cxnSp macro="">
      <xdr:nvCxnSpPr>
        <xdr:cNvPr id="33" name="Gerader Verbinder 32"/>
        <xdr:cNvCxnSpPr/>
      </xdr:nvCxnSpPr>
      <xdr:spPr>
        <a:xfrm flipV="1">
          <a:off x="640080" y="7200900"/>
          <a:ext cx="0" cy="457200"/>
        </a:xfrm>
        <a:prstGeom prst="straightConnector1">
          <a:avLst/>
        </a:prstGeom>
        <a:ln w="9525">
          <a:solidFill>
            <a:srgbClr val="262626"/>
          </a:solidFill>
        </a:ln>
      </xdr:spPr>
    </xdr:cxnSp>
    <xdr:clientData/>
  </xdr:twoCellAnchor>
  <xdr:twoCellAnchor editAs="oneCell">
    <xdr:from>
      <xdr:col>2</xdr:col>
      <xdr:colOff>883920</xdr:colOff>
      <xdr:row>37</xdr:row>
      <xdr:rowOff>91440</xdr:rowOff>
    </xdr:from>
    <xdr:to>
      <xdr:col>2</xdr:col>
      <xdr:colOff>883920</xdr:colOff>
      <xdr:row>39</xdr:row>
      <xdr:rowOff>160020</xdr:rowOff>
    </xdr:to>
    <xdr:cxnSp macro="">
      <xdr:nvCxnSpPr>
        <xdr:cNvPr id="34" name="Gerader Verbinder 33"/>
        <xdr:cNvCxnSpPr/>
      </xdr:nvCxnSpPr>
      <xdr:spPr>
        <a:xfrm flipV="1">
          <a:off x="1493520" y="7216140"/>
          <a:ext cx="0" cy="449580"/>
        </a:xfrm>
        <a:prstGeom prst="straightConnector1">
          <a:avLst/>
        </a:prstGeom>
        <a:ln w="9525">
          <a:solidFill>
            <a:srgbClr val="262626"/>
          </a:solidFill>
        </a:ln>
      </xdr:spPr>
    </xdr:cxnSp>
    <xdr:clientData/>
  </xdr:twoCellAnchor>
  <xdr:twoCellAnchor editAs="oneCell">
    <xdr:from>
      <xdr:col>2</xdr:col>
      <xdr:colOff>30480</xdr:colOff>
      <xdr:row>37</xdr:row>
      <xdr:rowOff>83820</xdr:rowOff>
    </xdr:from>
    <xdr:to>
      <xdr:col>2</xdr:col>
      <xdr:colOff>464820</xdr:colOff>
      <xdr:row>39</xdr:row>
      <xdr:rowOff>144780</xdr:rowOff>
    </xdr:to>
    <xdr:cxnSp macro="">
      <xdr:nvCxnSpPr>
        <xdr:cNvPr id="35" name="Gerader Verbinder 34"/>
        <xdr:cNvCxnSpPr/>
      </xdr:nvCxnSpPr>
      <xdr:spPr>
        <a:xfrm>
          <a:off x="640080" y="7208520"/>
          <a:ext cx="434340" cy="441960"/>
        </a:xfrm>
        <a:prstGeom prst="straightConnector1">
          <a:avLst/>
        </a:prstGeom>
        <a:ln w="9525">
          <a:solidFill>
            <a:srgbClr val="262626"/>
          </a:solidFill>
        </a:ln>
      </xdr:spPr>
    </xdr:cxnSp>
    <xdr:clientData/>
  </xdr:twoCellAnchor>
  <xdr:twoCellAnchor editAs="oneCell">
    <xdr:from>
      <xdr:col>2</xdr:col>
      <xdr:colOff>464820</xdr:colOff>
      <xdr:row>37</xdr:row>
      <xdr:rowOff>106680</xdr:rowOff>
    </xdr:from>
    <xdr:to>
      <xdr:col>2</xdr:col>
      <xdr:colOff>883920</xdr:colOff>
      <xdr:row>39</xdr:row>
      <xdr:rowOff>152400</xdr:rowOff>
    </xdr:to>
    <xdr:cxnSp macro="">
      <xdr:nvCxnSpPr>
        <xdr:cNvPr id="36" name="Gerader Verbinder 35"/>
        <xdr:cNvCxnSpPr/>
      </xdr:nvCxnSpPr>
      <xdr:spPr>
        <a:xfrm flipV="1">
          <a:off x="1074420" y="7231380"/>
          <a:ext cx="419100" cy="426720"/>
        </a:xfrm>
        <a:prstGeom prst="straightConnector1">
          <a:avLst/>
        </a:prstGeom>
        <a:ln w="9525">
          <a:solidFill>
            <a:srgbClr val="262626"/>
          </a:solidFill>
        </a:ln>
      </xdr:spPr>
    </xdr:cxnSp>
    <xdr:clientData/>
  </xdr:twoCellAnchor>
  <xdr:twoCellAnchor editAs="oneCell">
    <xdr:from>
      <xdr:col>6</xdr:col>
      <xdr:colOff>190500</xdr:colOff>
      <xdr:row>37</xdr:row>
      <xdr:rowOff>106680</xdr:rowOff>
    </xdr:from>
    <xdr:to>
      <xdr:col>6</xdr:col>
      <xdr:colOff>198120</xdr:colOff>
      <xdr:row>39</xdr:row>
      <xdr:rowOff>152400</xdr:rowOff>
    </xdr:to>
    <xdr:cxnSp macro="">
      <xdr:nvCxnSpPr>
        <xdr:cNvPr id="37" name="Gerader Verbinder 36"/>
        <xdr:cNvCxnSpPr/>
      </xdr:nvCxnSpPr>
      <xdr:spPr>
        <a:xfrm flipH="1" flipV="1">
          <a:off x="5448300" y="7231380"/>
          <a:ext cx="7620" cy="426720"/>
        </a:xfrm>
        <a:prstGeom prst="straightConnector1">
          <a:avLst/>
        </a:prstGeom>
        <a:ln w="9525">
          <a:solidFill>
            <a:srgbClr val="262626"/>
          </a:solidFill>
        </a:ln>
      </xdr:spPr>
    </xdr:cxnSp>
    <xdr:clientData/>
  </xdr:twoCellAnchor>
  <xdr:twoCellAnchor editAs="oneCell">
    <xdr:from>
      <xdr:col>5</xdr:col>
      <xdr:colOff>396240</xdr:colOff>
      <xdr:row>37</xdr:row>
      <xdr:rowOff>91440</xdr:rowOff>
    </xdr:from>
    <xdr:to>
      <xdr:col>6</xdr:col>
      <xdr:colOff>190500</xdr:colOff>
      <xdr:row>39</xdr:row>
      <xdr:rowOff>129540</xdr:rowOff>
    </xdr:to>
    <xdr:cxnSp macro="">
      <xdr:nvCxnSpPr>
        <xdr:cNvPr id="38" name="Gerader Verbinder 37"/>
        <xdr:cNvCxnSpPr/>
      </xdr:nvCxnSpPr>
      <xdr:spPr>
        <a:xfrm flipH="1">
          <a:off x="5006340" y="7216140"/>
          <a:ext cx="441960" cy="419100"/>
        </a:xfrm>
        <a:prstGeom prst="straightConnector1">
          <a:avLst/>
        </a:prstGeom>
        <a:ln w="9525">
          <a:solidFill>
            <a:srgbClr val="262626"/>
          </a:solidFill>
        </a:ln>
      </xdr:spPr>
    </xdr:cxnSp>
    <xdr:clientData/>
  </xdr:twoCellAnchor>
  <xdr:twoCellAnchor editAs="oneCell">
    <xdr:from>
      <xdr:col>3</xdr:col>
      <xdr:colOff>601980</xdr:colOff>
      <xdr:row>37</xdr:row>
      <xdr:rowOff>167640</xdr:rowOff>
    </xdr:from>
    <xdr:to>
      <xdr:col>3</xdr:col>
      <xdr:colOff>769620</xdr:colOff>
      <xdr:row>38</xdr:row>
      <xdr:rowOff>137160</xdr:rowOff>
    </xdr:to>
    <xdr:sp macro="" textlink="">
      <xdr:nvSpPr>
        <xdr:cNvPr id="39" name="Ellipse 38"/>
        <xdr:cNvSpPr/>
      </xdr:nvSpPr>
      <xdr:spPr>
        <a:xfrm>
          <a:off x="2430780" y="7292340"/>
          <a:ext cx="167640" cy="160020"/>
        </a:xfrm>
        <a:prstGeom prst="ellipse">
          <a:avLst/>
        </a:prstGeom>
        <a:solidFill>
          <a:srgbClr val="E7E6E6"/>
        </a:solidFill>
        <a:ln w="9525">
          <a:solidFill>
            <a:srgbClr val="262626"/>
          </a:solidFill>
        </a:ln>
      </xdr:spPr>
    </xdr:sp>
    <xdr:clientData/>
  </xdr:twoCellAnchor>
  <xdr:twoCellAnchor editAs="oneCell">
    <xdr:from>
      <xdr:col>3</xdr:col>
      <xdr:colOff>320040</xdr:colOff>
      <xdr:row>36</xdr:row>
      <xdr:rowOff>99060</xdr:rowOff>
    </xdr:from>
    <xdr:to>
      <xdr:col>3</xdr:col>
      <xdr:colOff>1053446</xdr:colOff>
      <xdr:row>37</xdr:row>
      <xdr:rowOff>188765</xdr:rowOff>
    </xdr:to>
    <xdr:sp macro="" textlink="">
      <xdr:nvSpPr>
        <xdr:cNvPr id="40" name="Textfeld 39"/>
        <xdr:cNvSpPr txBox="1"/>
      </xdr:nvSpPr>
      <xdr:spPr>
        <a:xfrm>
          <a:off x="2148840" y="7033260"/>
          <a:ext cx="733406" cy="280205"/>
        </a:xfrm>
        <a:prstGeom prst="rect">
          <a:avLst/>
        </a:prstGeom>
        <a:noFill/>
      </xdr:spPr>
      <xdr:txBody>
        <a:bodyPr wrap="none" rtlCol="0" anchor="ctr"/>
        <a:lstStyle/>
        <a:p>
          <a:pPr algn="ctr"/>
          <a:r>
            <a:rPr lang="de-DE" sz="1100"/>
            <a:t>Brunnen</a:t>
          </a:r>
        </a:p>
      </xdr:txBody>
    </xdr:sp>
    <xdr:clientData/>
  </xdr:twoCellAnchor>
  <xdr:twoCellAnchor editAs="oneCell">
    <xdr:from>
      <xdr:col>2</xdr:col>
      <xdr:colOff>975360</xdr:colOff>
      <xdr:row>23</xdr:row>
      <xdr:rowOff>137160</xdr:rowOff>
    </xdr:from>
    <xdr:to>
      <xdr:col>3</xdr:col>
      <xdr:colOff>472440</xdr:colOff>
      <xdr:row>27</xdr:row>
      <xdr:rowOff>60960</xdr:rowOff>
    </xdr:to>
    <xdr:sp macro="" textlink="">
      <xdr:nvSpPr>
        <xdr:cNvPr id="41" name="Rechteck 40"/>
        <xdr:cNvSpPr/>
      </xdr:nvSpPr>
      <xdr:spPr>
        <a:xfrm>
          <a:off x="1584960" y="4594860"/>
          <a:ext cx="716280" cy="685800"/>
        </a:xfrm>
        <a:prstGeom prst="rect">
          <a:avLst/>
        </a:prstGeom>
        <a:solidFill>
          <a:srgbClr val="E7E6E6"/>
        </a:solidFill>
        <a:ln w="9525">
          <a:solidFill>
            <a:srgbClr val="262626"/>
          </a:solidFill>
        </a:ln>
      </xdr:spPr>
    </xdr:sp>
    <xdr:clientData/>
  </xdr:twoCellAnchor>
  <xdr:twoCellAnchor editAs="oneCell">
    <xdr:from>
      <xdr:col>2</xdr:col>
      <xdr:colOff>1013460</xdr:colOff>
      <xdr:row>24</xdr:row>
      <xdr:rowOff>137160</xdr:rowOff>
    </xdr:from>
    <xdr:to>
      <xdr:col>3</xdr:col>
      <xdr:colOff>488233</xdr:colOff>
      <xdr:row>26</xdr:row>
      <xdr:rowOff>36365</xdr:rowOff>
    </xdr:to>
    <xdr:sp macro="" textlink="">
      <xdr:nvSpPr>
        <xdr:cNvPr id="42" name="Textfeld 41"/>
        <xdr:cNvSpPr txBox="1"/>
      </xdr:nvSpPr>
      <xdr:spPr>
        <a:xfrm>
          <a:off x="1623060" y="4785360"/>
          <a:ext cx="693973" cy="280205"/>
        </a:xfrm>
        <a:prstGeom prst="rect">
          <a:avLst/>
        </a:prstGeom>
        <a:noFill/>
      </xdr:spPr>
      <xdr:txBody>
        <a:bodyPr wrap="none" rtlCol="0" anchor="ctr"/>
        <a:lstStyle/>
        <a:p>
          <a:pPr algn="ctr"/>
          <a:r>
            <a:rPr lang="de-DE" sz="1100"/>
            <a:t>Pavillon</a:t>
          </a:r>
        </a:p>
      </xdr:txBody>
    </xdr:sp>
    <xdr:clientData/>
  </xdr:twoCellAnchor>
  <xdr:twoCellAnchor editAs="oneCell">
    <xdr:from>
      <xdr:col>2</xdr:col>
      <xdr:colOff>922020</xdr:colOff>
      <xdr:row>33</xdr:row>
      <xdr:rowOff>175260</xdr:rowOff>
    </xdr:from>
    <xdr:to>
      <xdr:col>2</xdr:col>
      <xdr:colOff>922020</xdr:colOff>
      <xdr:row>35</xdr:row>
      <xdr:rowOff>45720</xdr:rowOff>
    </xdr:to>
    <xdr:cxnSp macro="">
      <xdr:nvCxnSpPr>
        <xdr:cNvPr id="43" name="Gerader Verbinder 42"/>
        <xdr:cNvCxnSpPr/>
      </xdr:nvCxnSpPr>
      <xdr:spPr>
        <a:xfrm>
          <a:off x="1531620" y="6537960"/>
          <a:ext cx="0" cy="251460"/>
        </a:xfrm>
        <a:prstGeom prst="straightConnector1">
          <a:avLst/>
        </a:prstGeom>
        <a:ln w="9525">
          <a:solidFill>
            <a:srgbClr val="262626"/>
          </a:solidFill>
        </a:ln>
      </xdr:spPr>
    </xdr:cxnSp>
    <xdr:clientData/>
  </xdr:twoCellAnchor>
  <xdr:twoCellAnchor editAs="oneCell">
    <xdr:from>
      <xdr:col>2</xdr:col>
      <xdr:colOff>922020</xdr:colOff>
      <xdr:row>26</xdr:row>
      <xdr:rowOff>53340</xdr:rowOff>
    </xdr:from>
    <xdr:to>
      <xdr:col>3</xdr:col>
      <xdr:colOff>1836420</xdr:colOff>
      <xdr:row>26</xdr:row>
      <xdr:rowOff>60960</xdr:rowOff>
    </xdr:to>
    <xdr:cxnSp macro="">
      <xdr:nvCxnSpPr>
        <xdr:cNvPr id="44" name="Gerader Verbinder 56"/>
        <xdr:cNvCxnSpPr/>
      </xdr:nvCxnSpPr>
      <xdr:spPr>
        <a:xfrm>
          <a:off x="1531620" y="5082540"/>
          <a:ext cx="2133600" cy="7620"/>
        </a:xfrm>
        <a:prstGeom prst="straightConnector1">
          <a:avLst/>
        </a:prstGeom>
        <a:ln w="9525">
          <a:solidFill>
            <a:srgbClr val="262626"/>
          </a:solidFill>
          <a:prstDash val="dash"/>
        </a:ln>
      </xdr:spPr>
    </xdr:cxnSp>
    <xdr:clientData/>
  </xdr:twoCellAnchor>
  <xdr:twoCellAnchor editAs="oneCell">
    <xdr:from>
      <xdr:col>3</xdr:col>
      <xdr:colOff>1813560</xdr:colOff>
      <xdr:row>28</xdr:row>
      <xdr:rowOff>68580</xdr:rowOff>
    </xdr:from>
    <xdr:to>
      <xdr:col>4</xdr:col>
      <xdr:colOff>140916</xdr:colOff>
      <xdr:row>29</xdr:row>
      <xdr:rowOff>142640</xdr:rowOff>
    </xdr:to>
    <xdr:sp macro="" textlink="">
      <xdr:nvSpPr>
        <xdr:cNvPr id="45" name="Textfeld 57"/>
        <xdr:cNvSpPr txBox="1"/>
      </xdr:nvSpPr>
      <xdr:spPr>
        <a:xfrm>
          <a:off x="3642360" y="5478780"/>
          <a:ext cx="184731" cy="264560"/>
        </a:xfrm>
        <a:prstGeom prst="rect">
          <a:avLst/>
        </a:prstGeom>
        <a:noFill/>
      </xdr:spPr>
      <xdr:txBody>
        <a:bodyPr wrap="none" rtlCol="0" anchor="t"/>
        <a:lstStyle/>
        <a:p>
          <a:endParaRPr lang="de-DE" sz="1100"/>
        </a:p>
      </xdr:txBody>
    </xdr:sp>
    <xdr:clientData/>
  </xdr:twoCellAnchor>
  <xdr:twoCellAnchor editAs="oneCell">
    <xdr:from>
      <xdr:col>3</xdr:col>
      <xdr:colOff>1813560</xdr:colOff>
      <xdr:row>31</xdr:row>
      <xdr:rowOff>99060</xdr:rowOff>
    </xdr:from>
    <xdr:to>
      <xdr:col>4</xdr:col>
      <xdr:colOff>140916</xdr:colOff>
      <xdr:row>32</xdr:row>
      <xdr:rowOff>173120</xdr:rowOff>
    </xdr:to>
    <xdr:sp macro="" textlink="">
      <xdr:nvSpPr>
        <xdr:cNvPr id="46" name="Textfeld 58"/>
        <xdr:cNvSpPr txBox="1"/>
      </xdr:nvSpPr>
      <xdr:spPr>
        <a:xfrm>
          <a:off x="3642360" y="6080760"/>
          <a:ext cx="184731" cy="264560"/>
        </a:xfrm>
        <a:prstGeom prst="rect">
          <a:avLst/>
        </a:prstGeom>
        <a:noFill/>
      </xdr:spPr>
      <xdr:txBody>
        <a:bodyPr wrap="none" rtlCol="0" anchor="t"/>
        <a:lstStyle/>
        <a:p>
          <a:endParaRPr lang="de-DE" sz="1100"/>
        </a:p>
      </xdr:txBody>
    </xdr:sp>
    <xdr:clientData/>
  </xdr:twoCellAnchor>
  <xdr:twoCellAnchor editAs="oneCell">
    <xdr:from>
      <xdr:col>9</xdr:col>
      <xdr:colOff>346710</xdr:colOff>
      <xdr:row>19</xdr:row>
      <xdr:rowOff>68580</xdr:rowOff>
    </xdr:from>
    <xdr:to>
      <xdr:col>10</xdr:col>
      <xdr:colOff>489585</xdr:colOff>
      <xdr:row>24</xdr:row>
      <xdr:rowOff>30480</xdr:rowOff>
    </xdr:to>
    <xdr:cxnSp macro="">
      <xdr:nvCxnSpPr>
        <xdr:cNvPr id="47" name="Gerader Verbinder 59"/>
        <xdr:cNvCxnSpPr/>
      </xdr:nvCxnSpPr>
      <xdr:spPr>
        <a:xfrm>
          <a:off x="7338060" y="3764280"/>
          <a:ext cx="914400" cy="914400"/>
        </a:xfrm>
        <a:prstGeom prst="straightConnector1">
          <a:avLst/>
        </a:prstGeom>
        <a:ln w="9525">
          <a:solidFill>
            <a:srgbClr val="262626"/>
          </a:solidFill>
        </a:ln>
      </xdr:spPr>
    </xdr:cxnSp>
    <xdr:clientData/>
  </xdr:twoCellAnchor>
  <xdr:twoCellAnchor editAs="oneCell">
    <xdr:from>
      <xdr:col>3</xdr:col>
      <xdr:colOff>1409700</xdr:colOff>
      <xdr:row>28</xdr:row>
      <xdr:rowOff>76200</xdr:rowOff>
    </xdr:from>
    <xdr:to>
      <xdr:col>3</xdr:col>
      <xdr:colOff>1594431</xdr:colOff>
      <xdr:row>29</xdr:row>
      <xdr:rowOff>150260</xdr:rowOff>
    </xdr:to>
    <xdr:sp macro="" textlink="">
      <xdr:nvSpPr>
        <xdr:cNvPr id="48" name="Textfeld 60"/>
        <xdr:cNvSpPr txBox="1"/>
      </xdr:nvSpPr>
      <xdr:spPr>
        <a:xfrm>
          <a:off x="3238500" y="5486400"/>
          <a:ext cx="184731" cy="264560"/>
        </a:xfrm>
        <a:prstGeom prst="rect">
          <a:avLst/>
        </a:prstGeom>
        <a:noFill/>
      </xdr:spPr>
      <xdr:txBody>
        <a:bodyPr wrap="none" rtlCol="0" anchor="t"/>
        <a:lstStyle/>
        <a:p>
          <a:endParaRPr lang="de-DE" sz="1100"/>
        </a:p>
      </xdr:txBody>
    </xdr:sp>
    <xdr:clientData/>
  </xdr:twoCellAnchor>
  <xdr:twoCellAnchor editAs="oneCell">
    <xdr:from>
      <xdr:col>3</xdr:col>
      <xdr:colOff>1424940</xdr:colOff>
      <xdr:row>31</xdr:row>
      <xdr:rowOff>106680</xdr:rowOff>
    </xdr:from>
    <xdr:to>
      <xdr:col>3</xdr:col>
      <xdr:colOff>1609671</xdr:colOff>
      <xdr:row>32</xdr:row>
      <xdr:rowOff>180740</xdr:rowOff>
    </xdr:to>
    <xdr:sp macro="" textlink="">
      <xdr:nvSpPr>
        <xdr:cNvPr id="49" name="Textfeld 61"/>
        <xdr:cNvSpPr txBox="1"/>
      </xdr:nvSpPr>
      <xdr:spPr>
        <a:xfrm>
          <a:off x="3253740" y="6088380"/>
          <a:ext cx="184731" cy="264560"/>
        </a:xfrm>
        <a:prstGeom prst="rect">
          <a:avLst/>
        </a:prstGeom>
        <a:noFill/>
      </xdr:spPr>
      <xdr:txBody>
        <a:bodyPr wrap="none" rtlCol="0" anchor="t"/>
        <a:lstStyle/>
        <a:p>
          <a:endParaRPr lang="de-DE" sz="1100"/>
        </a:p>
      </xdr:txBody>
    </xdr:sp>
    <xdr:clientData/>
  </xdr:twoCellAnchor>
  <xdr:twoCellAnchor editAs="oneCell">
    <xdr:from>
      <xdr:col>8</xdr:col>
      <xdr:colOff>714375</xdr:colOff>
      <xdr:row>31</xdr:row>
      <xdr:rowOff>7620</xdr:rowOff>
    </xdr:from>
    <xdr:to>
      <xdr:col>9</xdr:col>
      <xdr:colOff>127581</xdr:colOff>
      <xdr:row>32</xdr:row>
      <xdr:rowOff>81680</xdr:rowOff>
    </xdr:to>
    <xdr:sp macro="" textlink="">
      <xdr:nvSpPr>
        <xdr:cNvPr id="50" name="Textfeld 62"/>
        <xdr:cNvSpPr txBox="1"/>
      </xdr:nvSpPr>
      <xdr:spPr>
        <a:xfrm>
          <a:off x="6934200" y="5989320"/>
          <a:ext cx="184731" cy="264560"/>
        </a:xfrm>
        <a:prstGeom prst="rect">
          <a:avLst/>
        </a:prstGeom>
        <a:noFill/>
      </xdr:spPr>
      <xdr:txBody>
        <a:bodyPr wrap="none" rtlCol="0" anchor="t"/>
        <a:lstStyle/>
        <a:p>
          <a:endParaRPr lang="de-DE" sz="1100"/>
        </a:p>
      </xdr:txBody>
    </xdr:sp>
    <xdr:clientData/>
  </xdr:twoCellAnchor>
  <xdr:twoCellAnchor editAs="oneCell">
    <xdr:from>
      <xdr:col>3</xdr:col>
      <xdr:colOff>655320</xdr:colOff>
      <xdr:row>33</xdr:row>
      <xdr:rowOff>160020</xdr:rowOff>
    </xdr:from>
    <xdr:to>
      <xdr:col>3</xdr:col>
      <xdr:colOff>840051</xdr:colOff>
      <xdr:row>35</xdr:row>
      <xdr:rowOff>43580</xdr:rowOff>
    </xdr:to>
    <xdr:sp macro="" textlink="">
      <xdr:nvSpPr>
        <xdr:cNvPr id="51" name="Textfeld 63"/>
        <xdr:cNvSpPr txBox="1"/>
      </xdr:nvSpPr>
      <xdr:spPr>
        <a:xfrm>
          <a:off x="2484120" y="6522720"/>
          <a:ext cx="184731" cy="264560"/>
        </a:xfrm>
        <a:prstGeom prst="rect">
          <a:avLst/>
        </a:prstGeom>
        <a:noFill/>
      </xdr:spPr>
      <xdr:txBody>
        <a:bodyPr wrap="none" rtlCol="0" anchor="t"/>
        <a:lstStyle/>
        <a:p>
          <a:endParaRPr lang="de-DE" sz="1100"/>
        </a:p>
      </xdr:txBody>
    </xdr:sp>
    <xdr:clientData/>
  </xdr:twoCellAnchor>
  <xdr:twoCellAnchor editAs="oneCell">
    <xdr:from>
      <xdr:col>5</xdr:col>
      <xdr:colOff>10509</xdr:colOff>
      <xdr:row>29</xdr:row>
      <xdr:rowOff>137160</xdr:rowOff>
    </xdr:from>
    <xdr:to>
      <xdr:col>5</xdr:col>
      <xdr:colOff>195240</xdr:colOff>
      <xdr:row>31</xdr:row>
      <xdr:rowOff>20720</xdr:rowOff>
    </xdr:to>
    <xdr:sp macro="" textlink="">
      <xdr:nvSpPr>
        <xdr:cNvPr id="52" name="Textfeld 64"/>
        <xdr:cNvSpPr txBox="1"/>
      </xdr:nvSpPr>
      <xdr:spPr>
        <a:xfrm>
          <a:off x="4620609" y="5737860"/>
          <a:ext cx="184731" cy="264560"/>
        </a:xfrm>
        <a:prstGeom prst="rect">
          <a:avLst/>
        </a:prstGeom>
        <a:noFill/>
      </xdr:spPr>
      <xdr:txBody>
        <a:bodyPr wrap="none" rtlCol="0" anchor="t"/>
        <a:lstStyle/>
        <a:p>
          <a:endParaRPr lang="de-DE" sz="1100"/>
        </a:p>
      </xdr:txBody>
    </xdr:sp>
    <xdr:clientData/>
  </xdr:twoCellAnchor>
  <xdr:twoCellAnchor editAs="oneCell">
    <xdr:from>
      <xdr:col>4</xdr:col>
      <xdr:colOff>911574</xdr:colOff>
      <xdr:row>24</xdr:row>
      <xdr:rowOff>152400</xdr:rowOff>
    </xdr:from>
    <xdr:to>
      <xdr:col>5</xdr:col>
      <xdr:colOff>172380</xdr:colOff>
      <xdr:row>26</xdr:row>
      <xdr:rowOff>35960</xdr:rowOff>
    </xdr:to>
    <xdr:sp macro="" textlink="">
      <xdr:nvSpPr>
        <xdr:cNvPr id="53" name="Textfeld 65"/>
        <xdr:cNvSpPr txBox="1"/>
      </xdr:nvSpPr>
      <xdr:spPr>
        <a:xfrm>
          <a:off x="4597749" y="4800600"/>
          <a:ext cx="184731" cy="264560"/>
        </a:xfrm>
        <a:prstGeom prst="rect">
          <a:avLst/>
        </a:prstGeom>
        <a:noFill/>
      </xdr:spPr>
      <xdr:txBody>
        <a:bodyPr wrap="none" rtlCol="0" anchor="t"/>
        <a:lstStyle/>
        <a:p>
          <a:endParaRPr lang="de-DE" sz="1100"/>
        </a:p>
      </xdr:txBody>
    </xdr:sp>
    <xdr:clientData/>
  </xdr:twoCellAnchor>
  <xdr:twoCellAnchor editAs="oneCell">
    <xdr:from>
      <xdr:col>3</xdr:col>
      <xdr:colOff>457200</xdr:colOff>
      <xdr:row>26</xdr:row>
      <xdr:rowOff>15240</xdr:rowOff>
    </xdr:from>
    <xdr:to>
      <xdr:col>4</xdr:col>
      <xdr:colOff>5659</xdr:colOff>
      <xdr:row>27</xdr:row>
      <xdr:rowOff>89300</xdr:rowOff>
    </xdr:to>
    <xdr:sp macro="" textlink="">
      <xdr:nvSpPr>
        <xdr:cNvPr id="54" name="Textfeld 66"/>
        <xdr:cNvSpPr txBox="1"/>
      </xdr:nvSpPr>
      <xdr:spPr>
        <a:xfrm>
          <a:off x="2286000" y="5044440"/>
          <a:ext cx="1405834" cy="264560"/>
        </a:xfrm>
        <a:prstGeom prst="rect">
          <a:avLst/>
        </a:prstGeom>
        <a:noFill/>
      </xdr:spPr>
      <xdr:txBody>
        <a:bodyPr wrap="none" rtlCol="0" anchor="ctr"/>
        <a:lstStyle/>
        <a:p>
          <a:pPr algn="ctr"/>
          <a:r>
            <a:rPr lang="de-DE" sz="1100"/>
            <a:t>Dachüberstand 70cm</a:t>
          </a:r>
        </a:p>
      </xdr:txBody>
    </xdr:sp>
    <xdr:clientData/>
  </xdr:twoCellAnchor>
  <xdr:twoCellAnchor editAs="oneCell">
    <xdr:from>
      <xdr:col>1</xdr:col>
      <xdr:colOff>367665</xdr:colOff>
      <xdr:row>33</xdr:row>
      <xdr:rowOff>144780</xdr:rowOff>
    </xdr:from>
    <xdr:to>
      <xdr:col>2</xdr:col>
      <xdr:colOff>981761</xdr:colOff>
      <xdr:row>35</xdr:row>
      <xdr:rowOff>28340</xdr:rowOff>
    </xdr:to>
    <xdr:sp macro="" textlink="">
      <xdr:nvSpPr>
        <xdr:cNvPr id="55" name="Textfeld 67"/>
        <xdr:cNvSpPr txBox="1"/>
      </xdr:nvSpPr>
      <xdr:spPr>
        <a:xfrm>
          <a:off x="548640" y="6507480"/>
          <a:ext cx="1042721" cy="264560"/>
        </a:xfrm>
        <a:prstGeom prst="rect">
          <a:avLst/>
        </a:prstGeom>
        <a:noFill/>
      </xdr:spPr>
      <xdr:txBody>
        <a:bodyPr wrap="none" rtlCol="0" anchor="ctr"/>
        <a:lstStyle/>
        <a:p>
          <a:pPr algn="ctr"/>
          <a:r>
            <a:rPr lang="de-DE" sz="1100"/>
            <a:t>0,80/0,60/0,85</a:t>
          </a:r>
        </a:p>
      </xdr:txBody>
    </xdr:sp>
    <xdr:clientData/>
  </xdr:twoCellAnchor>
  <xdr:twoCellAnchor editAs="oneCell">
    <xdr:from>
      <xdr:col>5</xdr:col>
      <xdr:colOff>60960</xdr:colOff>
      <xdr:row>39</xdr:row>
      <xdr:rowOff>175260</xdr:rowOff>
    </xdr:from>
    <xdr:to>
      <xdr:col>6</xdr:col>
      <xdr:colOff>500352</xdr:colOff>
      <xdr:row>41</xdr:row>
      <xdr:rowOff>58820</xdr:rowOff>
    </xdr:to>
    <xdr:sp macro="" textlink="">
      <xdr:nvSpPr>
        <xdr:cNvPr id="56" name="Textfeld 43"/>
        <xdr:cNvSpPr txBox="1"/>
      </xdr:nvSpPr>
      <xdr:spPr>
        <a:xfrm>
          <a:off x="4671060" y="7680960"/>
          <a:ext cx="1087092" cy="264560"/>
        </a:xfrm>
        <a:prstGeom prst="rect">
          <a:avLst/>
        </a:prstGeom>
        <a:noFill/>
      </xdr:spPr>
      <xdr:txBody>
        <a:bodyPr wrap="none" rtlCol="0" anchor="ctr"/>
        <a:lstStyle/>
        <a:p>
          <a:pPr algn="ctr"/>
          <a:r>
            <a:rPr lang="de-DE" sz="1100"/>
            <a:t>Zugang Parz. X</a:t>
          </a:r>
        </a:p>
      </xdr:txBody>
    </xdr:sp>
    <xdr:clientData/>
  </xdr:twoCellAnchor>
  <xdr:twoCellAnchor editAs="oneCell">
    <xdr:from>
      <xdr:col>2</xdr:col>
      <xdr:colOff>952500</xdr:colOff>
      <xdr:row>23</xdr:row>
      <xdr:rowOff>99060</xdr:rowOff>
    </xdr:from>
    <xdr:to>
      <xdr:col>3</xdr:col>
      <xdr:colOff>472440</xdr:colOff>
      <xdr:row>23</xdr:row>
      <xdr:rowOff>106680</xdr:rowOff>
    </xdr:to>
    <xdr:cxnSp macro="">
      <xdr:nvCxnSpPr>
        <xdr:cNvPr id="57" name="Gerader Verbinder 45"/>
        <xdr:cNvCxnSpPr/>
      </xdr:nvCxnSpPr>
      <xdr:spPr>
        <a:xfrm flipH="1" flipV="1">
          <a:off x="1562100" y="4556760"/>
          <a:ext cx="739140" cy="7620"/>
        </a:xfrm>
        <a:prstGeom prst="straightConnector1">
          <a:avLst/>
        </a:prstGeom>
        <a:ln w="9525">
          <a:solidFill>
            <a:srgbClr val="262626"/>
          </a:solidFill>
        </a:ln>
      </xdr:spPr>
    </xdr:cxnSp>
    <xdr:clientData/>
  </xdr:twoCellAnchor>
  <xdr:twoCellAnchor editAs="oneCell">
    <xdr:from>
      <xdr:col>2</xdr:col>
      <xdr:colOff>944880</xdr:colOff>
      <xdr:row>23</xdr:row>
      <xdr:rowOff>68580</xdr:rowOff>
    </xdr:from>
    <xdr:to>
      <xdr:col>2</xdr:col>
      <xdr:colOff>952500</xdr:colOff>
      <xdr:row>27</xdr:row>
      <xdr:rowOff>99060</xdr:rowOff>
    </xdr:to>
    <xdr:cxnSp macro="">
      <xdr:nvCxnSpPr>
        <xdr:cNvPr id="58" name="Gerader Verbinder 47"/>
        <xdr:cNvCxnSpPr/>
      </xdr:nvCxnSpPr>
      <xdr:spPr>
        <a:xfrm flipH="1" flipV="1">
          <a:off x="1554480" y="4526280"/>
          <a:ext cx="7620" cy="792480"/>
        </a:xfrm>
        <a:prstGeom prst="straightConnector1">
          <a:avLst/>
        </a:prstGeom>
        <a:ln w="9525">
          <a:solidFill>
            <a:srgbClr val="262626"/>
          </a:solidFill>
        </a:ln>
      </xdr:spPr>
    </xdr:cxnSp>
    <xdr:clientData/>
  </xdr:twoCellAnchor>
  <xdr:twoCellAnchor editAs="oneCell">
    <xdr:from>
      <xdr:col>2</xdr:col>
      <xdr:colOff>381000</xdr:colOff>
      <xdr:row>20</xdr:row>
      <xdr:rowOff>83820</xdr:rowOff>
    </xdr:from>
    <xdr:to>
      <xdr:col>3</xdr:col>
      <xdr:colOff>17483</xdr:colOff>
      <xdr:row>23</xdr:row>
      <xdr:rowOff>121333</xdr:rowOff>
    </xdr:to>
    <xdr:sp macro="" textlink="">
      <xdr:nvSpPr>
        <xdr:cNvPr id="59" name="Textfeld 49"/>
        <xdr:cNvSpPr txBox="1"/>
      </xdr:nvSpPr>
      <xdr:spPr>
        <a:xfrm>
          <a:off x="990600" y="3970020"/>
          <a:ext cx="855683" cy="609013"/>
        </a:xfrm>
        <a:prstGeom prst="rect">
          <a:avLst/>
        </a:prstGeom>
        <a:noFill/>
      </xdr:spPr>
      <xdr:txBody>
        <a:bodyPr wrap="none" rtlCol="0" anchor="ctr"/>
        <a:lstStyle/>
        <a:p>
          <a:pPr algn="ctr"/>
          <a:r>
            <a:rPr lang="de-DE" sz="1100"/>
            <a:t>Schilfrohr- verkleidung</a:t>
          </a:r>
        </a:p>
      </xdr:txBody>
    </xdr:sp>
    <xdr:clientData/>
  </xdr:twoCellAnchor>
  <xdr:twoCellAnchor editAs="oneCell">
    <xdr:from>
      <xdr:col>2</xdr:col>
      <xdr:colOff>746760</xdr:colOff>
      <xdr:row>22</xdr:row>
      <xdr:rowOff>76200</xdr:rowOff>
    </xdr:from>
    <xdr:to>
      <xdr:col>2</xdr:col>
      <xdr:colOff>1165860</xdr:colOff>
      <xdr:row>23</xdr:row>
      <xdr:rowOff>121920</xdr:rowOff>
    </xdr:to>
    <xdr:cxnSp macro="">
      <xdr:nvCxnSpPr>
        <xdr:cNvPr id="60" name="Gerader Verbinder 51"/>
        <xdr:cNvCxnSpPr/>
      </xdr:nvCxnSpPr>
      <xdr:spPr>
        <a:xfrm flipH="1" flipV="1">
          <a:off x="1356360" y="4343400"/>
          <a:ext cx="419100" cy="236220"/>
        </a:xfrm>
        <a:prstGeom prst="straightConnector1">
          <a:avLst/>
        </a:prstGeom>
        <a:ln w="9525">
          <a:solidFill>
            <a:srgbClr val="262626"/>
          </a:solidFill>
        </a:ln>
      </xdr:spPr>
    </xdr:cxnSp>
    <xdr:clientData/>
  </xdr:twoCellAnchor>
  <xdr:twoCellAnchor editAs="oneCell">
    <xdr:from>
      <xdr:col>2</xdr:col>
      <xdr:colOff>678180</xdr:colOff>
      <xdr:row>22</xdr:row>
      <xdr:rowOff>99060</xdr:rowOff>
    </xdr:from>
    <xdr:to>
      <xdr:col>2</xdr:col>
      <xdr:colOff>922020</xdr:colOff>
      <xdr:row>25</xdr:row>
      <xdr:rowOff>102870</xdr:rowOff>
    </xdr:to>
    <xdr:cxnSp macro="">
      <xdr:nvCxnSpPr>
        <xdr:cNvPr id="61" name="Gerader Verbinder 54"/>
        <xdr:cNvCxnSpPr/>
      </xdr:nvCxnSpPr>
      <xdr:spPr>
        <a:xfrm>
          <a:off x="1287780" y="4366260"/>
          <a:ext cx="243840" cy="575310"/>
        </a:xfrm>
        <a:prstGeom prst="straightConnector1">
          <a:avLst/>
        </a:prstGeom>
        <a:ln w="9525">
          <a:solidFill>
            <a:srgbClr val="262626"/>
          </a:solidFill>
        </a:ln>
      </xdr:spPr>
    </xdr:cxnSp>
    <xdr:clientData/>
  </xdr:twoCellAnchor>
  <xdr:twoCellAnchor editAs="oneCell">
    <xdr:from>
      <xdr:col>2</xdr:col>
      <xdr:colOff>1186031</xdr:colOff>
      <xdr:row>34</xdr:row>
      <xdr:rowOff>101315</xdr:rowOff>
    </xdr:from>
    <xdr:to>
      <xdr:col>3</xdr:col>
      <xdr:colOff>148008</xdr:colOff>
      <xdr:row>37</xdr:row>
      <xdr:rowOff>148435</xdr:rowOff>
    </xdr:to>
    <xdr:sp macro="" textlink="">
      <xdr:nvSpPr>
        <xdr:cNvPr id="62" name="Hochbeet_0" descr="wep-app"/>
        <xdr:cNvSpPr/>
      </xdr:nvSpPr>
      <xdr:spPr>
        <a:xfrm>
          <a:off x="1795631" y="6654515"/>
          <a:ext cx="181177" cy="618620"/>
        </a:xfrm>
        <a:prstGeom prst="ellipse">
          <a:avLst/>
        </a:prstGeom>
        <a:solidFill>
          <a:srgbClr val="D9C3A5"/>
        </a:solidFill>
        <a:ln w="12700">
          <a:solidFill>
            <a:srgbClr val="8B5A2B"/>
          </a:solidFill>
        </a:ln>
      </xdr:spPr>
    </xdr:sp>
    <xdr:clientData/>
  </xdr:twoCellAnchor>
  <xdr:twoCellAnchor editAs="oneCell">
    <xdr:from>
      <xdr:col>3</xdr:col>
      <xdr:colOff>278623</xdr:colOff>
      <xdr:row>34</xdr:row>
      <xdr:rowOff>101315</xdr:rowOff>
    </xdr:from>
    <xdr:to>
      <xdr:col>3</xdr:col>
      <xdr:colOff>426092</xdr:colOff>
      <xdr:row>37</xdr:row>
      <xdr:rowOff>136538</xdr:rowOff>
    </xdr:to>
    <xdr:sp macro="" textlink="">
      <xdr:nvSpPr>
        <xdr:cNvPr id="63" name="Hochbeet_1" descr="wep-app"/>
        <xdr:cNvSpPr/>
      </xdr:nvSpPr>
      <xdr:spPr>
        <a:xfrm>
          <a:off x="2107423" y="6654515"/>
          <a:ext cx="147469" cy="606723"/>
        </a:xfrm>
        <a:prstGeom prst="ellipse">
          <a:avLst/>
        </a:prstGeom>
        <a:solidFill>
          <a:srgbClr val="D9C3A5"/>
        </a:solidFill>
        <a:ln w="12700">
          <a:solidFill>
            <a:srgbClr val="8B5A2B"/>
          </a:solidFill>
        </a:ln>
      </xdr:spPr>
    </xdr:sp>
    <xdr:clientData/>
  </xdr:twoCellAnchor>
  <xdr:twoCellAnchor editAs="oneCell">
    <xdr:from>
      <xdr:col>3</xdr:col>
      <xdr:colOff>682283</xdr:colOff>
      <xdr:row>34</xdr:row>
      <xdr:rowOff>101315</xdr:rowOff>
    </xdr:from>
    <xdr:to>
      <xdr:col>3</xdr:col>
      <xdr:colOff>879782</xdr:colOff>
      <xdr:row>37</xdr:row>
      <xdr:rowOff>65159</xdr:rowOff>
    </xdr:to>
    <xdr:sp macro="" textlink="">
      <xdr:nvSpPr>
        <xdr:cNvPr id="64" name="Hochbeet_2" descr="wep-app"/>
        <xdr:cNvSpPr/>
      </xdr:nvSpPr>
      <xdr:spPr>
        <a:xfrm>
          <a:off x="2511083" y="6654515"/>
          <a:ext cx="197499" cy="535344"/>
        </a:xfrm>
        <a:prstGeom prst="ellipse">
          <a:avLst/>
        </a:prstGeom>
        <a:solidFill>
          <a:srgbClr val="D9C3A5"/>
        </a:solidFill>
        <a:ln w="12700">
          <a:solidFill>
            <a:srgbClr val="8B5A2B"/>
          </a:solidFill>
        </a:ln>
      </xdr:spPr>
    </xdr:sp>
    <xdr:clientData/>
  </xdr:twoCellAnchor>
  <xdr:twoCellAnchor editAs="oneCell">
    <xdr:from>
      <xdr:col>3</xdr:col>
      <xdr:colOff>978532</xdr:colOff>
      <xdr:row>34</xdr:row>
      <xdr:rowOff>41832</xdr:rowOff>
    </xdr:from>
    <xdr:to>
      <xdr:col>3</xdr:col>
      <xdr:colOff>1225406</xdr:colOff>
      <xdr:row>37</xdr:row>
      <xdr:rowOff>65159</xdr:rowOff>
    </xdr:to>
    <xdr:sp macro="" textlink="">
      <xdr:nvSpPr>
        <xdr:cNvPr id="65" name="Hochbeet_3" descr="wep-app"/>
        <xdr:cNvSpPr/>
      </xdr:nvSpPr>
      <xdr:spPr>
        <a:xfrm>
          <a:off x="2807332" y="6595032"/>
          <a:ext cx="246874" cy="594827"/>
        </a:xfrm>
        <a:prstGeom prst="ellipse">
          <a:avLst/>
        </a:prstGeom>
        <a:solidFill>
          <a:srgbClr val="D9C3A5"/>
        </a:solidFill>
        <a:ln w="12700">
          <a:solidFill>
            <a:srgbClr val="8B5A2B"/>
          </a:solidFill>
        </a:ln>
      </xdr:spPr>
    </xdr:sp>
    <xdr:clientData/>
  </xdr:twoCellAnchor>
  <xdr:twoCellAnchor editAs="oneCell">
    <xdr:from>
      <xdr:col>3</xdr:col>
      <xdr:colOff>1538611</xdr:colOff>
      <xdr:row>17</xdr:row>
      <xdr:rowOff>126716</xdr:rowOff>
    </xdr:from>
    <xdr:to>
      <xdr:col>4</xdr:col>
      <xdr:colOff>240036</xdr:colOff>
      <xdr:row>20</xdr:row>
      <xdr:rowOff>114016</xdr:rowOff>
    </xdr:to>
    <xdr:sp macro="" textlink="">
      <xdr:nvSpPr>
        <xdr:cNvPr id="66" name="Holzpferd" descr="wep-app"/>
        <xdr:cNvSpPr/>
      </xdr:nvSpPr>
      <xdr:spPr>
        <a:xfrm>
          <a:off x="3367411" y="3441416"/>
          <a:ext cx="558800" cy="558800"/>
        </a:xfrm>
        <a:prstGeom prst="star16">
          <a:avLst/>
        </a:prstGeom>
        <a:solidFill>
          <a:srgbClr val="70AD47"/>
        </a:solidFill>
        <a:ln w="12700">
          <a:solidFill>
            <a:srgbClr val="548235"/>
          </a:solidFill>
        </a:ln>
      </xdr:spPr>
    </xdr:sp>
    <xdr:clientData/>
  </xdr:twoCellAnchor>
  <xdr:twoCellAnchor editAs="oneCell">
    <xdr:from>
      <xdr:col>3</xdr:col>
      <xdr:colOff>1650371</xdr:colOff>
      <xdr:row>18</xdr:row>
      <xdr:rowOff>47976</xdr:rowOff>
    </xdr:from>
    <xdr:to>
      <xdr:col>4</xdr:col>
      <xdr:colOff>128276</xdr:colOff>
      <xdr:row>20</xdr:row>
      <xdr:rowOff>2256</xdr:rowOff>
    </xdr:to>
    <xdr:cxnSp macro="">
      <xdr:nvCxnSpPr>
        <xdr:cNvPr id="67" name="Holzpferd_X1" descr="wep-app"/>
        <xdr:cNvCxnSpPr/>
      </xdr:nvCxnSpPr>
      <xdr:spPr>
        <a:xfrm>
          <a:off x="3479171" y="3553176"/>
          <a:ext cx="335280" cy="335280"/>
        </a:xfrm>
        <a:prstGeom prst="straightConnector1">
          <a:avLst/>
        </a:prstGeom>
        <a:ln w="25400">
          <a:solidFill>
            <a:srgbClr val="C00000"/>
          </a:solidFill>
        </a:ln>
      </xdr:spPr>
    </xdr:cxnSp>
    <xdr:clientData/>
  </xdr:twoCellAnchor>
  <xdr:twoCellAnchor editAs="oneCell">
    <xdr:from>
      <xdr:col>3</xdr:col>
      <xdr:colOff>1650371</xdr:colOff>
      <xdr:row>18</xdr:row>
      <xdr:rowOff>47976</xdr:rowOff>
    </xdr:from>
    <xdr:to>
      <xdr:col>4</xdr:col>
      <xdr:colOff>128276</xdr:colOff>
      <xdr:row>20</xdr:row>
      <xdr:rowOff>2256</xdr:rowOff>
    </xdr:to>
    <xdr:cxnSp macro="">
      <xdr:nvCxnSpPr>
        <xdr:cNvPr id="68" name="Holzpferd_X2" descr="wep-app"/>
        <xdr:cNvCxnSpPr/>
      </xdr:nvCxnSpPr>
      <xdr:spPr>
        <a:xfrm flipH="1">
          <a:off x="3479171" y="3553176"/>
          <a:ext cx="335280" cy="335280"/>
        </a:xfrm>
        <a:prstGeom prst="straightConnector1">
          <a:avLst/>
        </a:prstGeom>
        <a:ln w="25400">
          <a:solidFill>
            <a:srgbClr val="C00000"/>
          </a:solidFill>
        </a:ln>
      </xdr:spPr>
    </xdr:cxnSp>
    <xdr:clientData/>
  </xdr:twoCellAnchor>
  <xdr:twoCellAnchor editAs="oneCell">
    <xdr:from>
      <xdr:col>3</xdr:col>
      <xdr:colOff>1263506</xdr:colOff>
      <xdr:row>35</xdr:row>
      <xdr:rowOff>95133</xdr:rowOff>
    </xdr:from>
    <xdr:to>
      <xdr:col>4</xdr:col>
      <xdr:colOff>79231</xdr:colOff>
      <xdr:row>36</xdr:row>
      <xdr:rowOff>95133</xdr:rowOff>
    </xdr:to>
    <xdr:sp macro="" textlink="">
      <xdr:nvSpPr>
        <xdr:cNvPr id="69" name="Hochbeete_Text" descr="wep-app"/>
        <xdr:cNvSpPr txBox="1"/>
      </xdr:nvSpPr>
      <xdr:spPr>
        <a:xfrm>
          <a:off x="3092306" y="6838833"/>
          <a:ext cx="673100"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Hochbeete</a:t>
          </a:r>
        </a:p>
      </xdr:txBody>
    </xdr:sp>
    <xdr:clientData/>
  </xdr:twoCellAnchor>
  <xdr:twoCellAnchor editAs="oneCell">
    <xdr:from>
      <xdr:col>3</xdr:col>
      <xdr:colOff>1169994</xdr:colOff>
      <xdr:row>15</xdr:row>
      <xdr:rowOff>152116</xdr:rowOff>
    </xdr:from>
    <xdr:to>
      <xdr:col>4</xdr:col>
      <xdr:colOff>608654</xdr:colOff>
      <xdr:row>16</xdr:row>
      <xdr:rowOff>164816</xdr:rowOff>
    </xdr:to>
    <xdr:sp macro="" textlink="">
      <xdr:nvSpPr>
        <xdr:cNvPr id="70" name="Holzpferd_Hinweis" descr="wep-app"/>
        <xdr:cNvSpPr/>
      </xdr:nvSpPr>
      <xdr:spPr>
        <a:xfrm>
          <a:off x="2998794" y="3085816"/>
          <a:ext cx="1296035" cy="203200"/>
        </a:xfrm>
        <a:prstGeom prst="roundRect">
          <a:avLst/>
        </a:prstGeom>
        <a:solidFill>
          <a:srgbClr val="FFFFFF"/>
        </a:solidFill>
        <a:ln w="12700">
          <a:solidFill>
            <a:srgbClr val="C00000"/>
          </a:solidFill>
        </a:ln>
      </xdr:spPr>
      <xdr:txBody>
        <a:bodyPr vertOverflow="clip" horzOverflow="clip" wrap="none" lIns="12700" tIns="0" rIns="12700" bIns="0" rtlCol="0" anchor="ctr"/>
        <a:lstStyle/>
        <a:p>
          <a:pPr algn="ctr"/>
          <a:r>
            <a:rPr lang="de-DE" sz="900">
              <a:solidFill>
                <a:srgbClr val="C00000"/>
              </a:solidFill>
              <a:latin typeface="+mn-lt"/>
            </a:rPr>
            <a:t>Holzpferd entfernen</a:t>
          </a:r>
        </a:p>
      </xdr:txBody>
    </xdr:sp>
    <xdr:clientData/>
  </xdr:twoCellAnchor>
  <xdr:twoCellAnchor editAs="oneCell">
    <xdr:from>
      <xdr:col>3</xdr:col>
      <xdr:colOff>1818011</xdr:colOff>
      <xdr:row>16</xdr:row>
      <xdr:rowOff>164816</xdr:rowOff>
    </xdr:from>
    <xdr:to>
      <xdr:col>3</xdr:col>
      <xdr:colOff>1818011</xdr:colOff>
      <xdr:row>17</xdr:row>
      <xdr:rowOff>126716</xdr:rowOff>
    </xdr:to>
    <xdr:cxnSp macro="">
      <xdr:nvCxnSpPr>
        <xdr:cNvPr id="71" name="Holzpferd_Pfeil" descr="wep-app"/>
        <xdr:cNvCxnSpPr/>
      </xdr:nvCxnSpPr>
      <xdr:spPr>
        <a:xfrm>
          <a:off x="3646811" y="3289016"/>
          <a:ext cx="0" cy="152400"/>
        </a:xfrm>
        <a:prstGeom prst="straightConnector1">
          <a:avLst/>
        </a:prstGeom>
        <a:ln w="12700">
          <a:solidFill>
            <a:srgbClr val="C00000"/>
          </a:solidFill>
          <a:tailEnd type="triangle" w="med" len="med"/>
        </a:ln>
      </xdr:spPr>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dk1"/>
        </a:lnRef>
        <a:fillRef idx="1">
          <a:schemeClr val="lt1"/>
        </a:fillRef>
        <a:effectRef idx="0">
          <a:schemeClr val="dk1"/>
        </a:effectRef>
        <a:fontRef idx="minor">
          <a:schemeClr val="dk1"/>
        </a:fontRef>
      </a:style>
    </a:spDef>
    <a:lnDef>
      <a:spPr/>
      <a:bodyPr/>
      <a:lstStyle/>
      <a:style>
        <a:lnRef idx="1">
          <a:schemeClr val="dk1"/>
        </a:lnRef>
        <a:fillRef idx="0">
          <a:schemeClr val="dk1"/>
        </a:fillRef>
        <a:effectRef idx="0">
          <a:schemeClr val="dk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DFAC48-1901-4A7E-831B-ED0B7D9E90BA}">
  <we:reference id="wa200009404" version="1.0.0.8" store="en-US" storeType="OMEX"/>
  <we:alternateReferences>
    <we:reference id="WA200009404" version="1.0.0.8" store="" storeType="OMEX"/>
  </we:alternateReferences>
  <we:properties>
    <we:property name="claude.fileId" value="&quot;bdec0e9e-60e1-44fb-999e-cb89c6b0243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2.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omments" Target="../comments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00"/>
  </sheetPr>
  <dimension ref="A1:N50"/>
  <sheetViews>
    <sheetView showGridLines="0" zoomScaleNormal="100" workbookViewId="0">
      <selection activeCell="F17" sqref="F17"/>
    </sheetView>
  </sheetViews>
  <sheetFormatPr baseColWidth="10" defaultColWidth="11.5703125" defaultRowHeight="12.75" x14ac:dyDescent="0.2"/>
  <cols>
    <col min="1" max="2" width="11.5703125" style="62"/>
    <col min="3" max="3" width="11" style="62" customWidth="1"/>
    <col min="4" max="4" width="15.7109375" style="62" customWidth="1"/>
    <col min="5" max="5" width="14.7109375" style="62" customWidth="1"/>
    <col min="6" max="6" width="21.42578125" style="62" customWidth="1"/>
    <col min="7" max="16384" width="11.5703125" style="62"/>
  </cols>
  <sheetData>
    <row r="1" spans="1:14" ht="15.75" x14ac:dyDescent="0.25">
      <c r="A1" s="329" t="s">
        <v>50</v>
      </c>
      <c r="B1" s="193"/>
      <c r="C1" s="193"/>
      <c r="D1" s="193"/>
      <c r="E1" s="193"/>
      <c r="F1" s="193"/>
      <c r="G1" s="331" t="s">
        <v>560</v>
      </c>
      <c r="H1" s="331"/>
      <c r="I1" s="331"/>
      <c r="J1" s="331"/>
      <c r="K1" s="331"/>
      <c r="L1" s="331"/>
      <c r="M1" s="331"/>
      <c r="N1" s="331"/>
    </row>
    <row r="2" spans="1:14" ht="15" x14ac:dyDescent="0.25">
      <c r="A2" s="193"/>
      <c r="B2" s="193"/>
      <c r="C2" s="193"/>
      <c r="D2" s="193"/>
      <c r="E2" s="193"/>
      <c r="F2" s="193"/>
      <c r="G2" s="331"/>
      <c r="H2" s="331"/>
      <c r="I2" s="331"/>
      <c r="J2" s="331"/>
      <c r="K2" s="331"/>
      <c r="L2" s="331"/>
      <c r="M2" s="331"/>
      <c r="N2" s="331"/>
    </row>
    <row r="3" spans="1:14" ht="15" x14ac:dyDescent="0.25">
      <c r="A3" s="193"/>
      <c r="B3" s="193" t="s">
        <v>51</v>
      </c>
      <c r="C3" s="193"/>
      <c r="D3" s="193"/>
      <c r="E3" s="809"/>
      <c r="F3" s="810"/>
      <c r="G3" s="331"/>
      <c r="H3" s="331" t="s">
        <v>418</v>
      </c>
      <c r="I3" s="623"/>
      <c r="J3" s="623"/>
      <c r="K3" s="623"/>
      <c r="L3" s="623"/>
      <c r="M3" s="623"/>
      <c r="N3" s="623"/>
    </row>
    <row r="4" spans="1:14" ht="15" x14ac:dyDescent="0.25">
      <c r="A4" s="193"/>
      <c r="B4" s="193" t="s">
        <v>52</v>
      </c>
      <c r="C4" s="193"/>
      <c r="D4" s="193"/>
      <c r="E4" s="815"/>
      <c r="F4" s="816"/>
      <c r="G4" s="331"/>
      <c r="H4" s="331"/>
      <c r="I4" s="331"/>
      <c r="J4" s="331"/>
      <c r="K4" s="331"/>
      <c r="L4" s="331"/>
      <c r="M4" s="331"/>
      <c r="N4" s="331"/>
    </row>
    <row r="5" spans="1:14" ht="15" x14ac:dyDescent="0.25">
      <c r="A5" s="193"/>
      <c r="B5" s="193" t="s">
        <v>516</v>
      </c>
      <c r="C5" s="193"/>
      <c r="D5" s="359"/>
      <c r="E5" s="811"/>
      <c r="F5" s="812"/>
      <c r="G5" s="331"/>
      <c r="H5" s="331" t="s">
        <v>419</v>
      </c>
      <c r="I5" s="623"/>
      <c r="J5" s="623"/>
      <c r="K5" s="623"/>
      <c r="L5" s="623"/>
      <c r="M5" s="623"/>
      <c r="N5" s="623"/>
    </row>
    <row r="6" spans="1:14" ht="15" x14ac:dyDescent="0.25">
      <c r="A6" s="193"/>
      <c r="B6" s="193" t="s">
        <v>53</v>
      </c>
      <c r="C6" s="193"/>
      <c r="D6" s="193"/>
      <c r="E6" s="813" t="inlineStr">
        <is>
          <t>Erika Musterfrau</t>
        </is>
      </c>
      <c r="F6" s="813"/>
      <c r="G6" s="331"/>
      <c r="H6" s="623" t="s">
        <v>615</v>
      </c>
      <c r="I6" s="331" t="s">
        <v>420</v>
      </c>
      <c r="J6" s="623"/>
      <c r="K6" s="623"/>
      <c r="L6" s="623"/>
      <c r="M6" s="623"/>
      <c r="N6" s="331" t="s">
        <v>621</v>
      </c>
    </row>
    <row r="7" spans="1:14" ht="15" x14ac:dyDescent="0.25">
      <c r="A7" s="193"/>
      <c r="B7" s="362" t="s">
        <v>152</v>
      </c>
      <c r="C7" s="196"/>
      <c r="D7" s="195"/>
      <c r="E7" s="812"/>
      <c r="F7" s="812"/>
      <c r="G7" s="331"/>
      <c r="H7" s="331" t="s">
        <v>615</v>
      </c>
      <c r="I7" s="331" t="s">
        <v>555</v>
      </c>
      <c r="J7" s="623"/>
      <c r="K7" s="623"/>
      <c r="L7" s="623"/>
      <c r="M7" s="623"/>
      <c r="N7" s="331" t="s">
        <v>622</v>
      </c>
    </row>
    <row r="8" spans="1:14" ht="15" x14ac:dyDescent="0.25">
      <c r="A8" s="193"/>
      <c r="B8" s="196"/>
      <c r="C8" s="362" t="s">
        <v>148</v>
      </c>
      <c r="D8" s="196"/>
      <c r="E8" s="812"/>
      <c r="F8" s="812"/>
      <c r="G8" s="331"/>
      <c r="H8" s="331" t="s">
        <v>615</v>
      </c>
      <c r="I8" s="643" t="s">
        <v>612</v>
      </c>
      <c r="J8" s="623"/>
      <c r="K8" s="623"/>
      <c r="L8" s="623"/>
      <c r="M8" s="623"/>
      <c r="N8" s="331" t="s">
        <v>623</v>
      </c>
    </row>
    <row r="9" spans="1:14" ht="15" x14ac:dyDescent="0.25">
      <c r="A9" s="360"/>
      <c r="B9" s="193" t="s">
        <v>54</v>
      </c>
      <c r="C9" s="358" t="s">
        <v>417</v>
      </c>
      <c r="D9" s="193"/>
      <c r="E9" s="813"/>
      <c r="F9" s="813"/>
      <c r="G9" s="331"/>
      <c r="H9" s="623"/>
      <c r="I9" s="331" t="s">
        <v>421</v>
      </c>
      <c r="J9" s="623"/>
      <c r="K9" s="623"/>
      <c r="L9" s="623"/>
      <c r="M9" s="623"/>
      <c r="N9" s="331" t="s">
        <v>624</v>
      </c>
    </row>
    <row r="10" spans="1:14" ht="15" x14ac:dyDescent="0.25">
      <c r="A10" s="193"/>
      <c r="B10" s="193"/>
      <c r="C10" s="193" t="s">
        <v>55</v>
      </c>
      <c r="D10" s="193"/>
      <c r="E10" s="813"/>
      <c r="F10" s="813"/>
      <c r="G10" s="331"/>
      <c r="H10" s="331" t="s">
        <v>615</v>
      </c>
      <c r="I10" s="331" t="s">
        <v>422</v>
      </c>
      <c r="J10" s="623"/>
      <c r="K10" s="623"/>
      <c r="L10" s="623"/>
      <c r="M10" s="623"/>
      <c r="N10" s="331" t="s">
        <v>423</v>
      </c>
    </row>
    <row r="11" spans="1:14" ht="15" x14ac:dyDescent="0.25">
      <c r="A11" s="193"/>
      <c r="B11" s="193"/>
      <c r="C11" s="362" t="s">
        <v>151</v>
      </c>
      <c r="D11" s="197"/>
      <c r="E11" s="812"/>
      <c r="F11" s="812"/>
      <c r="G11" s="331"/>
      <c r="H11" s="623"/>
      <c r="I11" s="623"/>
      <c r="J11" s="623"/>
      <c r="K11" s="623"/>
      <c r="L11" s="623"/>
      <c r="M11" s="623"/>
      <c r="N11" s="331" t="s">
        <v>424</v>
      </c>
    </row>
    <row r="12" spans="1:14" ht="15" x14ac:dyDescent="0.25">
      <c r="A12" s="193"/>
      <c r="B12" s="193" t="s">
        <v>547</v>
      </c>
      <c r="C12" s="193"/>
      <c r="D12" s="193"/>
      <c r="E12" s="813"/>
      <c r="F12" s="813"/>
      <c r="G12" s="331"/>
      <c r="H12" s="623"/>
      <c r="I12" s="623"/>
      <c r="J12" s="623"/>
      <c r="K12" s="623"/>
      <c r="L12" s="623"/>
      <c r="M12" s="623"/>
      <c r="N12" s="331" t="s">
        <v>425</v>
      </c>
    </row>
    <row r="13" spans="1:14" ht="15" x14ac:dyDescent="0.25">
      <c r="A13" s="193"/>
      <c r="B13" s="193" t="s">
        <v>548</v>
      </c>
      <c r="C13" s="193"/>
      <c r="D13" s="193"/>
      <c r="E13" s="814"/>
      <c r="F13" s="814"/>
      <c r="G13" s="331"/>
      <c r="H13" s="331"/>
      <c r="I13" s="331"/>
      <c r="J13" s="331"/>
      <c r="K13" s="331"/>
      <c r="L13" s="331"/>
      <c r="M13" s="331"/>
      <c r="N13" s="331"/>
    </row>
    <row r="14" spans="1:14" ht="15" x14ac:dyDescent="0.25">
      <c r="A14" s="193"/>
      <c r="B14" s="805" t="s">
        <v>145</v>
      </c>
      <c r="C14" s="806"/>
      <c r="D14" s="193"/>
      <c r="E14" s="807"/>
      <c r="F14" s="808"/>
      <c r="G14" s="331"/>
      <c r="H14" s="331" t="s">
        <v>554</v>
      </c>
      <c r="I14" s="623"/>
      <c r="J14" s="623"/>
      <c r="K14" s="623"/>
      <c r="L14" s="623"/>
      <c r="M14" s="623"/>
      <c r="N14" s="623"/>
    </row>
    <row r="15" spans="1:14" ht="15" x14ac:dyDescent="0.25">
      <c r="A15" s="193"/>
      <c r="B15" s="193" t="s">
        <v>549</v>
      </c>
      <c r="C15" s="193"/>
      <c r="D15" s="193"/>
      <c r="E15" s="640"/>
      <c r="F15" s="568"/>
      <c r="G15" s="331"/>
      <c r="H15" s="623" t="s">
        <v>616</v>
      </c>
      <c r="I15" s="331" t="s">
        <v>420</v>
      </c>
      <c r="J15" s="623"/>
      <c r="K15" s="623"/>
      <c r="L15" s="623"/>
      <c r="M15" s="623"/>
      <c r="N15" s="331" t="s">
        <v>621</v>
      </c>
    </row>
    <row r="16" spans="1:14" ht="15" x14ac:dyDescent="0.25">
      <c r="A16" s="193"/>
      <c r="B16" s="193" t="s">
        <v>56</v>
      </c>
      <c r="C16" s="193"/>
      <c r="D16" s="194"/>
      <c r="E16" s="641">
        <v>0</v>
      </c>
      <c r="F16" s="198" t="s">
        <v>61</v>
      </c>
      <c r="G16" s="331"/>
      <c r="H16" s="623" t="s">
        <v>616</v>
      </c>
      <c r="I16" s="331" t="s">
        <v>613</v>
      </c>
      <c r="J16" s="623"/>
      <c r="K16" s="623"/>
      <c r="L16" s="623"/>
      <c r="M16" s="623"/>
      <c r="N16" s="331" t="s">
        <v>625</v>
      </c>
    </row>
    <row r="17" spans="1:14" ht="15" x14ac:dyDescent="0.25">
      <c r="A17" s="358"/>
      <c r="B17" s="567" t="s">
        <v>521</v>
      </c>
      <c r="C17" s="193"/>
      <c r="D17" s="356"/>
      <c r="E17" s="642" t="inlineStr">
        <is>
          <t>TEST-fall1</t>
        </is>
      </c>
      <c r="F17" s="193"/>
      <c r="G17" s="331"/>
      <c r="H17" s="623" t="s">
        <v>616</v>
      </c>
      <c r="I17" s="331" t="s">
        <v>614</v>
      </c>
      <c r="J17" s="623"/>
      <c r="K17" s="623"/>
      <c r="L17" s="623"/>
      <c r="M17" s="623"/>
      <c r="N17" s="331" t="s">
        <v>623</v>
      </c>
    </row>
    <row r="18" spans="1:14" ht="15" x14ac:dyDescent="0.25">
      <c r="A18" s="193"/>
      <c r="B18" s="193"/>
      <c r="C18" s="193"/>
      <c r="D18" s="193"/>
      <c r="E18" s="193"/>
      <c r="F18" s="193"/>
      <c r="G18" s="331"/>
      <c r="H18" s="623"/>
      <c r="I18" s="623"/>
      <c r="J18" s="331" t="s">
        <v>421</v>
      </c>
      <c r="K18" s="623"/>
      <c r="L18" s="623"/>
      <c r="M18" s="623"/>
      <c r="N18" s="623"/>
    </row>
    <row r="19" spans="1:14" ht="15" x14ac:dyDescent="0.25">
      <c r="A19" s="193"/>
      <c r="B19" s="193"/>
      <c r="C19" s="193"/>
      <c r="D19" s="193"/>
      <c r="E19" s="193"/>
      <c r="F19" s="193"/>
      <c r="G19" s="331"/>
      <c r="H19" s="623" t="s">
        <v>616</v>
      </c>
      <c r="I19" s="331" t="s">
        <v>422</v>
      </c>
      <c r="J19" s="623"/>
      <c r="K19" s="623"/>
      <c r="L19" s="623"/>
      <c r="M19" s="623"/>
      <c r="N19" s="331" t="s">
        <v>423</v>
      </c>
    </row>
    <row r="20" spans="1:14" ht="15" x14ac:dyDescent="0.25">
      <c r="A20" s="193"/>
      <c r="B20" s="327" t="s">
        <v>357</v>
      </c>
      <c r="C20" s="328"/>
      <c r="D20" s="328"/>
      <c r="E20" s="328"/>
      <c r="F20" s="328"/>
      <c r="G20" s="644"/>
      <c r="H20" s="623"/>
      <c r="I20" s="623"/>
      <c r="J20" s="623"/>
      <c r="K20" s="623"/>
      <c r="L20" s="623"/>
      <c r="M20" s="623"/>
      <c r="N20" s="331" t="s">
        <v>424</v>
      </c>
    </row>
    <row r="21" spans="1:14" ht="15" x14ac:dyDescent="0.25">
      <c r="A21" s="193"/>
      <c r="B21" s="327" t="s">
        <v>358</v>
      </c>
      <c r="C21" s="328"/>
      <c r="D21" s="328"/>
      <c r="E21" s="328"/>
      <c r="F21" s="328"/>
      <c r="G21" s="644"/>
      <c r="H21" s="623"/>
      <c r="I21" s="623"/>
      <c r="J21" s="623"/>
      <c r="K21" s="623"/>
      <c r="L21" s="623"/>
      <c r="M21" s="623"/>
      <c r="N21" s="331" t="s">
        <v>425</v>
      </c>
    </row>
    <row r="22" spans="1:14" ht="15" x14ac:dyDescent="0.25">
      <c r="A22" s="193"/>
      <c r="B22" s="327" t="s">
        <v>366</v>
      </c>
      <c r="C22" s="328"/>
      <c r="D22" s="328"/>
      <c r="E22" s="328"/>
      <c r="F22" s="328"/>
      <c r="G22" s="644"/>
      <c r="H22" s="331"/>
      <c r="I22" s="331"/>
      <c r="J22" s="331"/>
      <c r="K22" s="331"/>
      <c r="L22" s="331"/>
      <c r="M22" s="331"/>
      <c r="N22" s="331"/>
    </row>
    <row r="23" spans="1:14" ht="15" x14ac:dyDescent="0.25">
      <c r="A23" s="193"/>
      <c r="B23" s="327" t="s">
        <v>359</v>
      </c>
      <c r="C23" s="328"/>
      <c r="D23" s="328"/>
      <c r="E23" s="328"/>
      <c r="F23" s="328"/>
      <c r="G23" s="644"/>
      <c r="H23" s="331" t="s">
        <v>426</v>
      </c>
      <c r="I23" s="623"/>
      <c r="J23" s="623"/>
      <c r="K23" s="623"/>
      <c r="L23" s="623"/>
      <c r="M23" s="623"/>
      <c r="N23" s="623"/>
    </row>
    <row r="24" spans="1:14" ht="15" x14ac:dyDescent="0.25">
      <c r="A24" s="193"/>
      <c r="B24" s="194"/>
      <c r="C24" s="193"/>
      <c r="D24" s="193"/>
      <c r="E24" s="193"/>
      <c r="F24" s="193"/>
      <c r="G24" s="331"/>
      <c r="H24" s="331" t="s">
        <v>427</v>
      </c>
      <c r="I24" s="623"/>
      <c r="J24" s="623"/>
      <c r="K24" s="623"/>
      <c r="L24" s="623"/>
      <c r="M24" s="623"/>
      <c r="N24" s="623"/>
    </row>
    <row r="25" spans="1:14" ht="15" x14ac:dyDescent="0.25">
      <c r="A25" s="193"/>
      <c r="B25" s="193"/>
      <c r="C25" s="193"/>
      <c r="D25" s="193"/>
      <c r="E25" s="193"/>
      <c r="F25" s="193"/>
      <c r="G25" s="331"/>
      <c r="H25" s="623"/>
      <c r="I25" s="331" t="s">
        <v>428</v>
      </c>
      <c r="J25" s="623"/>
      <c r="K25" s="623"/>
      <c r="L25" s="623"/>
      <c r="M25" s="623"/>
      <c r="N25" s="623"/>
    </row>
    <row r="26" spans="1:14" ht="15" x14ac:dyDescent="0.25">
      <c r="A26" s="193"/>
      <c r="B26" s="193"/>
      <c r="C26" s="193"/>
      <c r="D26" s="193"/>
      <c r="E26" s="193"/>
      <c r="F26" s="193"/>
      <c r="G26" s="331"/>
      <c r="H26" s="331" t="s">
        <v>626</v>
      </c>
      <c r="I26" s="623"/>
      <c r="J26" s="623"/>
      <c r="K26" s="623"/>
      <c r="L26" s="623"/>
      <c r="M26" s="623"/>
      <c r="N26" s="623"/>
    </row>
    <row r="27" spans="1:14" ht="15" x14ac:dyDescent="0.25">
      <c r="A27" s="193"/>
      <c r="B27" s="193"/>
      <c r="C27" s="193"/>
      <c r="D27" s="193"/>
      <c r="E27" s="193"/>
      <c r="F27" s="193"/>
      <c r="G27" s="331"/>
      <c r="H27" s="331" t="s">
        <v>429</v>
      </c>
      <c r="I27" s="623"/>
      <c r="J27" s="623"/>
      <c r="K27" s="623"/>
      <c r="L27" s="623"/>
      <c r="M27" s="623"/>
      <c r="N27" s="623"/>
    </row>
    <row r="28" spans="1:14" ht="15" x14ac:dyDescent="0.25">
      <c r="A28" s="193"/>
      <c r="B28" s="193"/>
      <c r="C28" s="193"/>
      <c r="D28" s="193"/>
      <c r="E28" s="193"/>
      <c r="F28" s="193"/>
      <c r="G28" s="331"/>
      <c r="H28" s="331"/>
      <c r="I28" s="331"/>
      <c r="J28" s="331"/>
      <c r="K28" s="331"/>
      <c r="L28" s="331"/>
      <c r="M28" s="331"/>
      <c r="N28" s="331"/>
    </row>
    <row r="29" spans="1:14" ht="15" x14ac:dyDescent="0.25">
      <c r="A29" s="193"/>
      <c r="B29" s="193"/>
      <c r="C29" s="193"/>
      <c r="D29" s="193"/>
      <c r="E29" s="193"/>
      <c r="F29" s="193"/>
      <c r="G29" s="331"/>
      <c r="H29" s="331"/>
      <c r="I29" s="331"/>
      <c r="J29" s="331"/>
      <c r="K29" s="331"/>
      <c r="L29" s="331"/>
      <c r="M29" s="331"/>
      <c r="N29" s="331"/>
    </row>
    <row r="30" spans="1:14" ht="15" x14ac:dyDescent="0.25">
      <c r="A30" s="193"/>
      <c r="B30" s="193"/>
      <c r="C30" s="193"/>
      <c r="D30" s="193"/>
      <c r="E30" s="193"/>
      <c r="F30" s="193"/>
      <c r="G30" s="331"/>
      <c r="H30" s="331"/>
      <c r="I30" s="331"/>
      <c r="J30" s="331"/>
      <c r="K30" s="331"/>
      <c r="L30" s="331"/>
      <c r="M30" s="331"/>
      <c r="N30" s="331"/>
    </row>
    <row r="31" spans="1:14" ht="15" x14ac:dyDescent="0.25">
      <c r="A31" s="193"/>
      <c r="B31" s="193"/>
      <c r="C31" s="193"/>
      <c r="D31" s="193"/>
      <c r="E31" s="193"/>
      <c r="F31" s="193"/>
      <c r="G31" s="331"/>
      <c r="H31" s="331"/>
      <c r="I31" s="331"/>
      <c r="J31" s="331"/>
      <c r="K31" s="331"/>
      <c r="L31" s="331"/>
      <c r="M31" s="331"/>
      <c r="N31" s="331"/>
    </row>
    <row r="32" spans="1:14" ht="15" x14ac:dyDescent="0.25">
      <c r="A32" s="193"/>
      <c r="B32" s="193"/>
      <c r="C32" s="193"/>
      <c r="D32" s="193"/>
      <c r="E32" s="193"/>
      <c r="F32" s="193"/>
      <c r="G32" s="331"/>
      <c r="H32" s="331"/>
      <c r="I32" s="331"/>
      <c r="J32" s="331"/>
      <c r="K32" s="331"/>
      <c r="L32" s="331"/>
      <c r="M32" s="331"/>
      <c r="N32" s="331"/>
    </row>
    <row r="33" spans="1:14" ht="15" x14ac:dyDescent="0.25">
      <c r="A33" s="193"/>
      <c r="B33" s="193"/>
      <c r="C33" s="193"/>
      <c r="D33" s="193"/>
      <c r="E33" s="193"/>
      <c r="F33" s="193"/>
      <c r="G33" s="331"/>
      <c r="H33" s="331"/>
      <c r="I33" s="331"/>
      <c r="J33" s="331"/>
      <c r="K33" s="331"/>
      <c r="L33" s="331"/>
      <c r="M33" s="331"/>
      <c r="N33" s="331"/>
    </row>
    <row r="34" spans="1:14" ht="15" x14ac:dyDescent="0.25">
      <c r="A34" s="193"/>
      <c r="B34" s="193"/>
      <c r="C34" s="193"/>
      <c r="D34" s="193"/>
      <c r="E34" s="193"/>
      <c r="F34" s="193"/>
      <c r="G34" s="331"/>
      <c r="H34" s="331"/>
      <c r="I34" s="331"/>
      <c r="J34" s="331"/>
      <c r="K34" s="331"/>
      <c r="L34" s="331"/>
      <c r="M34" s="331"/>
      <c r="N34" s="331"/>
    </row>
    <row r="35" spans="1:14" ht="15" x14ac:dyDescent="0.25">
      <c r="A35" s="193"/>
      <c r="B35" s="193"/>
      <c r="C35" s="193"/>
      <c r="D35" s="193"/>
      <c r="E35" s="193"/>
      <c r="F35" s="193"/>
      <c r="G35" s="331"/>
      <c r="H35" s="331"/>
      <c r="I35" s="331"/>
      <c r="J35" s="331"/>
      <c r="K35" s="331"/>
      <c r="L35" s="331"/>
      <c r="M35" s="331"/>
      <c r="N35" s="331"/>
    </row>
    <row r="36" spans="1:14" ht="15" x14ac:dyDescent="0.25">
      <c r="A36" s="193"/>
      <c r="B36" s="193"/>
      <c r="C36" s="193"/>
      <c r="D36" s="193"/>
      <c r="E36" s="193"/>
      <c r="F36" s="193"/>
      <c r="G36" s="331"/>
      <c r="H36" s="331"/>
      <c r="I36" s="331"/>
      <c r="J36" s="331"/>
      <c r="K36" s="331"/>
      <c r="L36" s="331"/>
      <c r="M36" s="331"/>
      <c r="N36" s="331"/>
    </row>
    <row r="37" spans="1:14" ht="15" x14ac:dyDescent="0.25">
      <c r="A37" s="193"/>
      <c r="B37" s="193"/>
      <c r="C37" s="193"/>
      <c r="D37" s="193"/>
      <c r="E37" s="193"/>
      <c r="F37" s="193"/>
      <c r="G37" s="331"/>
      <c r="H37" s="331"/>
      <c r="I37" s="331"/>
      <c r="J37" s="331"/>
      <c r="K37" s="331"/>
      <c r="L37" s="331"/>
      <c r="M37" s="331"/>
      <c r="N37" s="331"/>
    </row>
    <row r="38" spans="1:14" ht="15" x14ac:dyDescent="0.25">
      <c r="A38" s="193"/>
      <c r="B38" s="193"/>
      <c r="C38" s="193"/>
      <c r="D38" s="193"/>
      <c r="E38" s="193"/>
      <c r="F38" s="193"/>
      <c r="G38" s="331"/>
      <c r="H38" s="331"/>
      <c r="I38" s="331"/>
      <c r="J38" s="331"/>
      <c r="K38" s="331"/>
      <c r="L38" s="331"/>
      <c r="M38" s="331"/>
      <c r="N38" s="331"/>
    </row>
    <row r="39" spans="1:14" ht="15" x14ac:dyDescent="0.25">
      <c r="A39" s="200"/>
      <c r="B39" s="201"/>
      <c r="C39" s="201"/>
      <c r="D39" s="201"/>
      <c r="E39" s="201"/>
      <c r="F39" s="201"/>
      <c r="G39" s="331"/>
      <c r="H39" s="331"/>
      <c r="I39" s="331"/>
      <c r="J39" s="331"/>
      <c r="K39" s="331"/>
      <c r="L39" s="331"/>
      <c r="M39" s="331"/>
      <c r="N39" s="331"/>
    </row>
    <row r="40" spans="1:14" ht="15" x14ac:dyDescent="0.25">
      <c r="A40" s="200"/>
      <c r="B40" s="201"/>
      <c r="C40" s="201"/>
      <c r="D40" s="201"/>
      <c r="E40" s="201"/>
      <c r="F40" s="201"/>
      <c r="G40" s="331"/>
      <c r="H40" s="331"/>
      <c r="I40" s="331"/>
      <c r="J40" s="331"/>
      <c r="K40" s="331"/>
      <c r="L40" s="331"/>
      <c r="M40" s="331"/>
      <c r="N40" s="331"/>
    </row>
    <row r="41" spans="1:14" ht="15" x14ac:dyDescent="0.25">
      <c r="A41" s="200"/>
      <c r="B41" s="201"/>
      <c r="C41" s="201"/>
      <c r="D41" s="201"/>
      <c r="E41" s="201"/>
      <c r="F41" s="201"/>
      <c r="G41" s="331"/>
      <c r="H41" s="331"/>
      <c r="I41" s="331"/>
      <c r="J41" s="331"/>
      <c r="K41" s="331"/>
      <c r="L41" s="331"/>
      <c r="M41" s="331"/>
      <c r="N41" s="331"/>
    </row>
    <row r="42" spans="1:14" ht="15" x14ac:dyDescent="0.25">
      <c r="A42" s="200"/>
      <c r="B42" s="201"/>
      <c r="C42" s="201"/>
      <c r="D42" s="201"/>
      <c r="E42" s="201"/>
      <c r="F42" s="201"/>
      <c r="G42" s="331"/>
      <c r="H42" s="331"/>
      <c r="I42" s="331"/>
      <c r="J42" s="331"/>
      <c r="K42" s="331"/>
      <c r="L42" s="331"/>
      <c r="M42" s="331"/>
      <c r="N42" s="331"/>
    </row>
    <row r="43" spans="1:14" ht="15" x14ac:dyDescent="0.25">
      <c r="A43" s="193"/>
      <c r="B43" s="193"/>
      <c r="C43" s="193"/>
      <c r="D43" s="193"/>
      <c r="E43" s="193"/>
      <c r="F43" s="193"/>
      <c r="G43" s="331"/>
      <c r="H43" s="331"/>
      <c r="I43" s="331"/>
      <c r="J43" s="331"/>
      <c r="K43" s="331"/>
      <c r="L43" s="331"/>
      <c r="M43" s="331"/>
      <c r="N43" s="331"/>
    </row>
    <row r="44" spans="1:14" ht="15" x14ac:dyDescent="0.25">
      <c r="A44" s="193"/>
      <c r="B44" s="193"/>
      <c r="C44" s="193"/>
      <c r="D44" s="193"/>
      <c r="E44" s="193"/>
      <c r="F44" s="193"/>
      <c r="G44" s="331"/>
      <c r="H44" s="331"/>
      <c r="I44" s="331"/>
      <c r="J44" s="331"/>
      <c r="K44" s="331"/>
      <c r="L44" s="331"/>
      <c r="M44" s="331"/>
      <c r="N44" s="331"/>
    </row>
    <row r="45" spans="1:14" ht="15" x14ac:dyDescent="0.25">
      <c r="A45" s="193"/>
      <c r="B45" s="193"/>
      <c r="C45" s="193"/>
      <c r="D45" s="193"/>
      <c r="E45" s="193"/>
      <c r="F45" s="193"/>
      <c r="G45" s="331"/>
      <c r="H45" s="331"/>
      <c r="I45" s="331"/>
      <c r="J45" s="331"/>
      <c r="K45" s="331"/>
      <c r="L45" s="331"/>
      <c r="M45" s="331"/>
      <c r="N45" s="331"/>
    </row>
    <row r="46" spans="1:14" ht="15" x14ac:dyDescent="0.25">
      <c r="A46" s="193"/>
      <c r="B46" s="199"/>
      <c r="C46" s="193"/>
      <c r="D46" s="193"/>
      <c r="E46" s="193"/>
      <c r="F46" s="193"/>
      <c r="G46" s="331"/>
      <c r="H46" s="331"/>
      <c r="I46" s="331"/>
      <c r="J46" s="331"/>
      <c r="K46" s="331"/>
      <c r="L46" s="331"/>
      <c r="M46" s="331"/>
      <c r="N46" s="331"/>
    </row>
    <row r="47" spans="1:14" x14ac:dyDescent="0.2">
      <c r="G47" s="331"/>
      <c r="H47" s="331"/>
      <c r="I47" s="331"/>
      <c r="J47" s="331"/>
      <c r="K47" s="331"/>
      <c r="L47" s="331"/>
      <c r="M47" s="331"/>
      <c r="N47" s="331"/>
    </row>
    <row r="48" spans="1:14" x14ac:dyDescent="0.2">
      <c r="G48" s="331"/>
      <c r="H48" s="331"/>
      <c r="I48" s="331"/>
      <c r="J48" s="331"/>
      <c r="K48" s="331"/>
      <c r="L48" s="331"/>
      <c r="M48" s="331"/>
      <c r="N48" s="331"/>
    </row>
    <row r="49" spans="7:14" x14ac:dyDescent="0.2">
      <c r="G49" s="331"/>
      <c r="H49" s="331"/>
      <c r="I49" s="331"/>
      <c r="J49" s="331"/>
      <c r="K49" s="331"/>
      <c r="L49" s="331"/>
      <c r="M49" s="331"/>
      <c r="N49" s="331"/>
    </row>
    <row r="50" spans="7:14" x14ac:dyDescent="0.2">
      <c r="G50" s="331"/>
      <c r="H50" s="331"/>
      <c r="I50" s="331"/>
      <c r="J50" s="331"/>
      <c r="K50" s="331"/>
      <c r="L50" s="331"/>
      <c r="M50" s="331"/>
      <c r="N50" s="331"/>
    </row>
  </sheetData>
  <sheetProtection selectLockedCells="1"/>
  <mergeCells count="13">
    <mergeCell ref="B14:C14"/>
    <mergeCell ref="E14:F14"/>
    <mergeCell ref="E3:F3"/>
    <mergeCell ref="E5:F5"/>
    <mergeCell ref="E6:F6"/>
    <mergeCell ref="E7:F7"/>
    <mergeCell ref="E8:F8"/>
    <mergeCell ref="E9:F9"/>
    <mergeCell ref="E10:F10"/>
    <mergeCell ref="E11:F11"/>
    <mergeCell ref="E12:F12"/>
    <mergeCell ref="E13:F13"/>
    <mergeCell ref="E4:F4"/>
  </mergeCells>
  <pageMargins left="0.78740157480314965" right="0.19685039370078741" top="0.78740157480314965" bottom="0.78740157480314965" header="0.31496062992125984" footer="0.31496062992125984"/>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3300"/>
  </sheetPr>
  <dimension ref="A1:M45"/>
  <sheetViews>
    <sheetView showGridLines="0" showZeros="0" tabSelected="1" zoomScaleNormal="100" zoomScalePageLayoutView="85" workbookViewId="0">
      <selection activeCell="I42" sqref="I42"/>
    </sheetView>
  </sheetViews>
  <sheetFormatPr baseColWidth="10" defaultColWidth="11.5703125" defaultRowHeight="12.75" x14ac:dyDescent="0.2"/>
  <cols>
    <col min="1" max="1" width="15.5703125" style="331" customWidth="1"/>
    <col min="2" max="2" width="10.85546875" style="331" customWidth="1"/>
    <col min="3" max="3" width="15.28515625" style="331" customWidth="1"/>
    <col min="4" max="4" width="19" style="331" customWidth="1"/>
    <col min="5" max="5" width="16.7109375" style="331" customWidth="1"/>
    <col min="6" max="6" width="12.5703125" style="331" customWidth="1"/>
    <col min="7" max="7" width="17.5703125" style="331" customWidth="1"/>
    <col min="8" max="10" width="11.5703125" style="331" customWidth="1"/>
    <col min="11" max="16384" width="11.5703125" style="331"/>
  </cols>
  <sheetData>
    <row r="1" spans="1:9" ht="25.15" customHeight="1" x14ac:dyDescent="0.2">
      <c r="A1" s="772" t="s">
        <v>411</v>
      </c>
      <c r="B1" s="772"/>
      <c r="C1" s="772"/>
      <c r="D1" s="772"/>
      <c r="E1" s="772"/>
      <c r="F1" s="772"/>
      <c r="G1" s="772"/>
    </row>
    <row r="2" spans="1:9" x14ac:dyDescent="0.2">
      <c r="A2" s="773" t="s">
        <v>410</v>
      </c>
      <c r="B2" s="773"/>
      <c r="C2" s="773"/>
      <c r="D2" s="773"/>
      <c r="E2" s="773"/>
      <c r="F2" s="773"/>
      <c r="G2" s="773"/>
    </row>
    <row r="3" spans="1:9" x14ac:dyDescent="0.2">
      <c r="A3" s="342"/>
      <c r="B3" s="342"/>
      <c r="C3" s="342"/>
      <c r="D3" s="342"/>
      <c r="E3" s="342"/>
      <c r="F3" s="342"/>
      <c r="G3" s="342"/>
    </row>
    <row r="4" spans="1:9" ht="13.9" customHeight="1" x14ac:dyDescent="0.2">
      <c r="A4" s="781" t="s">
        <v>124</v>
      </c>
      <c r="B4" s="781"/>
      <c r="C4" s="781"/>
      <c r="D4" s="781"/>
      <c r="E4" s="781"/>
      <c r="F4" s="781"/>
      <c r="G4" s="781"/>
    </row>
    <row r="5" spans="1:9" ht="15.95" customHeight="1" x14ac:dyDescent="0.2">
      <c r="A5" s="781"/>
      <c r="B5" s="781"/>
      <c r="C5" s="781"/>
      <c r="D5" s="781"/>
      <c r="E5" s="781"/>
      <c r="F5" s="781"/>
      <c r="G5" s="781"/>
    </row>
    <row r="6" spans="1:9" x14ac:dyDescent="0.2">
      <c r="A6" s="781"/>
      <c r="B6" s="781"/>
      <c r="C6" s="781"/>
      <c r="D6" s="781"/>
      <c r="E6" s="781"/>
      <c r="F6" s="781"/>
      <c r="G6" s="781"/>
    </row>
    <row r="7" spans="1:9" ht="15" customHeight="1" x14ac:dyDescent="0.2">
      <c r="A7" s="788" t="s">
        <v>0</v>
      </c>
      <c r="B7" s="788"/>
      <c r="C7" s="782">
        <f>Formalien!$E$6</f>
      </c>
      <c r="D7" s="782"/>
      <c r="E7" s="782"/>
      <c r="F7" s="782"/>
      <c r="G7" s="782"/>
    </row>
    <row r="8" spans="1:9" ht="15.75" x14ac:dyDescent="0.2">
      <c r="A8" s="788" t="s">
        <v>1</v>
      </c>
      <c r="B8" s="788"/>
      <c r="C8" s="783">
        <f>Formalien!$E$3</f>
      </c>
      <c r="D8" s="783"/>
      <c r="E8" s="783"/>
      <c r="F8" s="783"/>
      <c r="G8" s="783"/>
    </row>
    <row r="9" spans="1:9" ht="15.75" x14ac:dyDescent="0.2">
      <c r="A9" s="788" t="s">
        <v>523</v>
      </c>
      <c r="B9" s="788"/>
      <c r="C9" s="783">
        <f>IF(Formalien!$E$5="",Formalien!$E$4,Formalien!$E$4&amp;" / "&amp;Formalien!$E$5)</f>
      </c>
      <c r="D9" s="783"/>
      <c r="E9" s="783"/>
      <c r="F9" s="783"/>
      <c r="G9" s="783"/>
      <c r="I9" s="646"/>
    </row>
    <row r="10" spans="1:9" ht="15.75" x14ac:dyDescent="0.2">
      <c r="A10" s="788" t="s">
        <v>521</v>
      </c>
      <c r="B10" s="788"/>
      <c r="C10" s="688">
        <f>Formalien!$E$17</f>
      </c>
      <c r="D10" s="689"/>
      <c r="E10" s="690"/>
      <c r="F10" s="691"/>
      <c r="G10" s="691"/>
    </row>
    <row r="11" spans="1:9" ht="15.75" x14ac:dyDescent="0.2">
      <c r="A11" s="788" t="s">
        <v>145</v>
      </c>
      <c r="B11" s="788"/>
      <c r="C11" s="692">
        <f>Formalien!$E$14</f>
      </c>
      <c r="D11" s="804"/>
      <c r="E11" s="804"/>
      <c r="F11" s="804"/>
      <c r="G11" s="804"/>
    </row>
    <row r="12" spans="1:9" ht="6" customHeight="1" x14ac:dyDescent="0.2">
      <c r="A12" s="784"/>
      <c r="B12" s="784"/>
      <c r="C12" s="784"/>
      <c r="D12" s="784"/>
      <c r="E12" s="784"/>
      <c r="F12" s="784"/>
      <c r="G12" s="784"/>
    </row>
    <row r="13" spans="1:9" ht="15" customHeight="1" x14ac:dyDescent="0.2">
      <c r="A13" s="660" t="s">
        <v>117</v>
      </c>
      <c r="B13" s="780" t="s">
        <v>446</v>
      </c>
      <c r="C13" s="780"/>
      <c r="D13" s="780"/>
      <c r="E13" s="787">
        <f>Formalien!$E$12</f>
      </c>
      <c r="F13" s="787"/>
      <c r="G13" s="787"/>
    </row>
    <row r="14" spans="1:9" ht="15" customHeight="1" x14ac:dyDescent="0.2">
      <c r="A14" s="784"/>
      <c r="B14" s="780" t="s">
        <v>520</v>
      </c>
      <c r="C14" s="780"/>
      <c r="D14" s="780"/>
      <c r="E14" s="785">
        <f>Formalien!$E$13</f>
      </c>
      <c r="F14" s="786"/>
      <c r="G14" s="786"/>
    </row>
    <row r="15" spans="1:9" ht="15" customHeight="1" x14ac:dyDescent="0.2">
      <c r="A15" s="784"/>
      <c r="B15" s="780" t="s">
        <v>2</v>
      </c>
      <c r="C15" s="780"/>
      <c r="D15" s="780"/>
      <c r="E15" s="787">
        <f>Formalien!$E$10</f>
      </c>
      <c r="F15" s="787"/>
      <c r="G15" s="787"/>
    </row>
    <row r="16" spans="1:9" ht="15" customHeight="1" x14ac:dyDescent="0.2">
      <c r="A16" s="784"/>
      <c r="B16" s="780" t="s">
        <v>445</v>
      </c>
      <c r="C16" s="780"/>
      <c r="D16" s="780"/>
      <c r="E16" s="787">
        <f>Formalien!$E$11</f>
      </c>
      <c r="F16" s="787"/>
      <c r="G16" s="787"/>
    </row>
    <row r="17" spans="1:13" ht="15" customHeight="1" x14ac:dyDescent="0.2">
      <c r="A17" s="784"/>
      <c r="B17" s="780" t="s">
        <v>444</v>
      </c>
      <c r="C17" s="780"/>
      <c r="D17" s="780"/>
      <c r="E17" s="787">
        <f>Formalien!$E$9</f>
      </c>
      <c r="F17" s="787"/>
      <c r="G17" s="787"/>
    </row>
    <row r="18" spans="1:13" ht="15" customHeight="1" x14ac:dyDescent="0.2">
      <c r="A18" s="798"/>
      <c r="B18" s="798"/>
      <c r="C18" s="798"/>
      <c r="D18" s="798"/>
      <c r="E18" s="798"/>
      <c r="F18" s="798"/>
      <c r="G18" s="798"/>
    </row>
    <row r="19" spans="1:13" ht="15" customHeight="1" x14ac:dyDescent="0.2">
      <c r="A19" s="799" t="s">
        <v>450</v>
      </c>
      <c r="B19" s="799"/>
      <c r="C19" s="799"/>
      <c r="D19" s="799"/>
      <c r="E19" s="799"/>
      <c r="F19" s="799"/>
      <c r="G19" s="799"/>
    </row>
    <row r="20" spans="1:13" ht="13.9" customHeight="1" x14ac:dyDescent="0.2">
      <c r="A20" s="799"/>
      <c r="B20" s="799"/>
      <c r="C20" s="799"/>
      <c r="D20" s="799"/>
      <c r="E20" s="799"/>
      <c r="F20" s="799"/>
      <c r="G20" s="799"/>
    </row>
    <row r="21" spans="1:13" ht="19.899999999999999" customHeight="1" x14ac:dyDescent="0.25">
      <c r="A21" s="330"/>
      <c r="B21" s="775" t="s">
        <v>629</v>
      </c>
      <c r="C21" s="791"/>
      <c r="D21" s="791"/>
      <c r="E21" s="684">
        <f>Baulichkeiten!$K$81</f>
      </c>
      <c r="F21" s="794" t="s">
        <v>119</v>
      </c>
      <c r="G21" s="795"/>
      <c r="H21" s="477"/>
      <c r="K21" s="792"/>
      <c r="L21" s="792"/>
      <c r="M21" s="792"/>
    </row>
    <row r="22" spans="1:13" ht="19.899999999999999" customHeight="1" x14ac:dyDescent="0.2">
      <c r="A22" s="330"/>
      <c r="B22" s="775" t="s">
        <v>522</v>
      </c>
      <c r="C22" s="776"/>
      <c r="D22" s="776"/>
      <c r="E22" s="685">
        <f>Außenanlagen!$L$46</f>
      </c>
      <c r="F22" s="342"/>
      <c r="G22" s="476"/>
      <c r="K22" s="792"/>
      <c r="L22" s="792"/>
      <c r="M22" s="792"/>
    </row>
    <row r="23" spans="1:13" ht="19.899999999999999" customHeight="1" x14ac:dyDescent="0.2">
      <c r="B23" s="775" t="s">
        <v>451</v>
      </c>
      <c r="C23" s="776"/>
      <c r="D23" s="776"/>
      <c r="E23" s="685">
        <f>MAX('Aufwuchs I'!L46,'Aufwuchs II'!L46)</f>
      </c>
      <c r="F23" s="342"/>
      <c r="G23" s="476"/>
      <c r="L23" s="344"/>
      <c r="M23" s="344"/>
    </row>
    <row r="24" spans="1:13" ht="19.899999999999999" customHeight="1" x14ac:dyDescent="0.25">
      <c r="B24" s="793" t="s">
        <v>296</v>
      </c>
      <c r="C24" s="776"/>
      <c r="D24" s="776"/>
      <c r="E24" s="686">
        <f>SUM(E21:E23)</f>
      </c>
      <c r="F24" s="342"/>
      <c r="G24" s="476"/>
      <c r="J24" s="330"/>
      <c r="K24" s="789"/>
      <c r="L24" s="790"/>
      <c r="M24" s="342"/>
    </row>
    <row r="25" spans="1:13" ht="19.899999999999999" customHeight="1" x14ac:dyDescent="0.25">
      <c r="B25" s="775" t="s">
        <v>577</v>
      </c>
      <c r="C25" s="776"/>
      <c r="D25" s="776"/>
      <c r="E25" s="687">
        <f>Baulichkeiten!$H$104</f>
      </c>
      <c r="F25" s="342"/>
      <c r="G25" s="476"/>
      <c r="J25" s="330"/>
      <c r="K25" s="590"/>
      <c r="L25" s="591"/>
      <c r="M25" s="342"/>
    </row>
    <row r="26" spans="1:13" ht="19.899999999999999" customHeight="1" x14ac:dyDescent="0.2">
      <c r="B26" s="775" t="s">
        <v>572</v>
      </c>
      <c r="C26" s="776"/>
      <c r="D26" s="776"/>
      <c r="E26" s="687">
        <f>Beseitigungskosten!$K$24</f>
      </c>
      <c r="F26" s="342"/>
      <c r="G26" s="476"/>
      <c r="K26" s="495"/>
      <c r="L26" s="492"/>
      <c r="M26" s="342"/>
    </row>
    <row r="27" spans="1:13" ht="19.899999999999999" customHeight="1" thickBot="1" x14ac:dyDescent="0.25">
      <c r="B27" s="775" t="s">
        <v>630</v>
      </c>
      <c r="C27" s="803"/>
      <c r="D27" s="803"/>
      <c r="E27" s="687">
        <f>Beseitigungskosten!$K$45</f>
      </c>
      <c r="F27" s="342"/>
      <c r="G27" s="476"/>
      <c r="J27" s="330"/>
      <c r="K27" s="330"/>
    </row>
    <row r="28" spans="1:13" ht="19.899999999999999" customHeight="1" thickBot="1" x14ac:dyDescent="0.25">
      <c r="B28" s="777" t="s">
        <v>452</v>
      </c>
      <c r="C28" s="778"/>
      <c r="D28" s="778"/>
      <c r="E28" s="653">
        <f>SUM(E24-E25-E26-E27)</f>
      </c>
      <c r="F28" s="342"/>
      <c r="G28" s="496"/>
      <c r="J28" s="330"/>
      <c r="K28" s="330"/>
    </row>
    <row r="29" spans="1:13" ht="15" x14ac:dyDescent="0.2">
      <c r="B29" s="330"/>
      <c r="C29" s="493"/>
      <c r="D29" s="493"/>
      <c r="E29" s="494"/>
      <c r="F29" s="342"/>
      <c r="G29" s="476"/>
      <c r="J29" s="330"/>
      <c r="K29" s="330"/>
    </row>
    <row r="30" spans="1:13" x14ac:dyDescent="0.2">
      <c r="F30" s="342"/>
      <c r="G30" s="476"/>
    </row>
    <row r="31" spans="1:13" ht="28.9" customHeight="1" x14ac:dyDescent="0.25">
      <c r="A31" s="779" t="s">
        <v>517</v>
      </c>
      <c r="B31" s="779"/>
      <c r="C31" s="779"/>
      <c r="D31" s="779"/>
      <c r="E31" s="779"/>
      <c r="F31" s="779"/>
      <c r="G31" s="779"/>
    </row>
    <row r="32" spans="1:13" ht="11.45" customHeight="1" x14ac:dyDescent="0.25">
      <c r="A32"/>
      <c r="B32"/>
      <c r="C32"/>
      <c r="D32"/>
      <c r="E32"/>
      <c r="F32"/>
      <c r="G32"/>
    </row>
    <row r="33" spans="1:11" ht="77.25" customHeight="1" x14ac:dyDescent="0.2">
      <c r="A33" s="774" t="s">
        <v>526</v>
      </c>
      <c r="B33" s="774"/>
      <c r="C33" s="774"/>
      <c r="D33" s="774"/>
      <c r="E33" s="774"/>
      <c r="F33" s="774"/>
      <c r="G33" s="774"/>
    </row>
    <row r="34" spans="1:11" ht="86.45" customHeight="1" x14ac:dyDescent="0.2">
      <c r="A34" s="774" t="s">
        <v>454</v>
      </c>
      <c r="B34" s="774"/>
      <c r="C34" s="774"/>
      <c r="D34" s="774"/>
      <c r="E34" s="774"/>
      <c r="F34" s="774"/>
      <c r="G34" s="774"/>
    </row>
    <row r="35" spans="1:11" ht="28.9" customHeight="1" x14ac:dyDescent="0.2">
      <c r="A35" s="774" t="s">
        <v>455</v>
      </c>
      <c r="B35" s="774"/>
      <c r="C35" s="774"/>
      <c r="D35" s="774"/>
      <c r="E35" s="774"/>
      <c r="F35" s="774"/>
      <c r="G35" s="774"/>
      <c r="K35" s="498"/>
    </row>
    <row r="36" spans="1:11" ht="14.45" customHeight="1" x14ac:dyDescent="0.2">
      <c r="A36" s="800" t="s">
        <v>518</v>
      </c>
      <c r="B36" s="800"/>
      <c r="C36" s="800"/>
      <c r="D36" s="800"/>
      <c r="E36" s="800"/>
      <c r="F36" s="800"/>
      <c r="G36" s="800"/>
      <c r="K36" s="499"/>
    </row>
    <row r="37" spans="1:11" ht="28.9" customHeight="1" x14ac:dyDescent="0.2">
      <c r="A37" s="802" t="s">
        <v>556</v>
      </c>
      <c r="B37" s="802"/>
      <c r="C37" s="802"/>
      <c r="D37" s="802"/>
      <c r="E37" s="802"/>
      <c r="F37" s="802"/>
      <c r="G37" s="802"/>
      <c r="K37" s="498"/>
    </row>
    <row r="38" spans="1:11" ht="28.9" customHeight="1" x14ac:dyDescent="0.2">
      <c r="A38" s="800" t="s">
        <v>525</v>
      </c>
      <c r="B38" s="774"/>
      <c r="C38" s="774"/>
      <c r="D38" s="774"/>
      <c r="E38" s="774"/>
      <c r="F38" s="774"/>
      <c r="G38" s="774"/>
      <c r="K38" s="499"/>
    </row>
    <row r="39" spans="1:11" ht="15" x14ac:dyDescent="0.25">
      <c r="A39"/>
      <c r="B39"/>
      <c r="C39"/>
      <c r="D39"/>
      <c r="E39"/>
      <c r="F39"/>
      <c r="G39"/>
      <c r="K39" s="498"/>
    </row>
    <row r="40" spans="1:11" ht="15" x14ac:dyDescent="0.25">
      <c r="A40" s="498" t="s">
        <v>453</v>
      </c>
      <c r="B40"/>
      <c r="C40"/>
      <c r="D40"/>
      <c r="E40"/>
      <c r="F40"/>
      <c r="G40"/>
      <c r="K40" s="497"/>
    </row>
    <row r="41" spans="1:11" ht="15" x14ac:dyDescent="0.25">
      <c r="A41"/>
      <c r="B41"/>
      <c r="C41"/>
      <c r="D41"/>
      <c r="E41"/>
      <c r="F41"/>
      <c r="G41"/>
      <c r="K41" s="498"/>
    </row>
    <row r="42" spans="1:11" x14ac:dyDescent="0.2">
      <c r="G42" s="476"/>
    </row>
    <row r="43" spans="1:11" ht="15.75" x14ac:dyDescent="0.25">
      <c r="A43" s="652" t="s">
        <v>58</v>
      </c>
      <c r="B43" s="801"/>
      <c r="C43" s="801"/>
      <c r="D43" s="796" t="s">
        <v>628</v>
      </c>
      <c r="E43" s="796"/>
      <c r="F43" s="796"/>
    </row>
    <row r="44" spans="1:11" x14ac:dyDescent="0.2">
      <c r="G44" s="331" t="s">
        <v>560</v>
      </c>
    </row>
    <row r="45" spans="1:11" ht="15" x14ac:dyDescent="0.25">
      <c r="A45" s="797" t="s">
        <v>524</v>
      </c>
      <c r="B45" s="797"/>
      <c r="C45" s="797"/>
      <c r="D45" s="797"/>
      <c r="E45" s="797"/>
      <c r="F45" s="797"/>
      <c r="G45" s="797"/>
    </row>
  </sheetData>
  <mergeCells count="48">
    <mergeCell ref="A45:G45"/>
    <mergeCell ref="A10:B10"/>
    <mergeCell ref="E13:G13"/>
    <mergeCell ref="A18:G18"/>
    <mergeCell ref="A19:G20"/>
    <mergeCell ref="A34:G34"/>
    <mergeCell ref="A35:G35"/>
    <mergeCell ref="A38:G38"/>
    <mergeCell ref="B43:C43"/>
    <mergeCell ref="A37:G37"/>
    <mergeCell ref="A36:G36"/>
    <mergeCell ref="B27:D27"/>
    <mergeCell ref="B13:D13"/>
    <mergeCell ref="B15:D15"/>
    <mergeCell ref="B25:D25"/>
    <mergeCell ref="D11:G11"/>
    <mergeCell ref="A12:G12"/>
    <mergeCell ref="D43:F43"/>
    <mergeCell ref="A7:B7"/>
    <mergeCell ref="A8:B8"/>
    <mergeCell ref="A11:B11"/>
    <mergeCell ref="C9:G9"/>
    <mergeCell ref="B14:D14"/>
    <mergeCell ref="B17:D17"/>
    <mergeCell ref="K24:L24"/>
    <mergeCell ref="B21:D21"/>
    <mergeCell ref="K21:M21"/>
    <mergeCell ref="K22:M22"/>
    <mergeCell ref="B22:D22"/>
    <mergeCell ref="B23:D23"/>
    <mergeCell ref="B24:D24"/>
    <mergeCell ref="F21:G21"/>
    <mergeCell ref="A1:G1"/>
    <mergeCell ref="A2:G2"/>
    <mergeCell ref="A33:G33"/>
    <mergeCell ref="B26:D26"/>
    <mergeCell ref="B28:D28"/>
    <mergeCell ref="A31:G31"/>
    <mergeCell ref="B16:D16"/>
    <mergeCell ref="A4:G6"/>
    <mergeCell ref="C7:G7"/>
    <mergeCell ref="C8:G8"/>
    <mergeCell ref="A14:A17"/>
    <mergeCell ref="E14:G14"/>
    <mergeCell ref="E15:G15"/>
    <mergeCell ref="E16:G16"/>
    <mergeCell ref="E17:G17"/>
    <mergeCell ref="A9:B9"/>
  </mergeCells>
  <pageMargins left="0.78740157480314965" right="0.19685039370078741" top="0.78740157480314965" bottom="0.78740157480314965" header="0.31496062992125984" footer="0.31496062992125984"/>
  <pageSetup paperSize="9" scale="80" fitToWidth="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sheetPr>
  <dimension ref="A1:T109"/>
  <sheetViews>
    <sheetView showGridLines="0" showZeros="0" zoomScaleNormal="100" workbookViewId="0">
      <selection activeCell="H105" sqref="H105"/>
    </sheetView>
  </sheetViews>
  <sheetFormatPr baseColWidth="10" defaultColWidth="11.5703125" defaultRowHeight="15" x14ac:dyDescent="0.25"/>
  <cols>
    <col min="1" max="1" width="6.5703125" style="372" customWidth="1"/>
    <col min="2" max="2" width="8.28515625" style="372" customWidth="1"/>
    <col min="3" max="3" width="11" style="372" customWidth="1"/>
    <col min="4" max="4" width="10.28515625" style="372" customWidth="1"/>
    <col min="5" max="5" width="13.28515625" style="372" customWidth="1"/>
    <col min="6" max="6" width="9.140625" style="372" customWidth="1"/>
    <col min="7" max="7" width="9.42578125" style="372" customWidth="1"/>
    <col min="8" max="8" width="11.85546875" style="372" customWidth="1"/>
    <col min="9" max="9" width="10.28515625" style="372" customWidth="1"/>
    <col min="10" max="10" width="4.42578125" style="373" customWidth="1"/>
    <col min="11" max="11" width="12.28515625" style="372" customWidth="1"/>
    <col min="12" max="13" width="10.85546875" style="372"/>
    <col min="14" max="14" width="25.42578125" style="372" customWidth="1"/>
  </cols>
  <sheetData>
    <row r="1" spans="1:20" ht="18.600000000000001" customHeight="1" x14ac:dyDescent="0.25">
      <c r="A1" s="566" t="s">
        <v>553</v>
      </c>
      <c r="B1" s="566"/>
      <c r="C1" s="566"/>
      <c r="D1" s="566"/>
      <c r="E1" s="566"/>
      <c r="F1" s="507"/>
      <c r="G1" s="507"/>
      <c r="H1" s="507"/>
      <c r="I1" s="478"/>
      <c r="J1" s="479"/>
      <c r="K1" s="478"/>
    </row>
    <row r="2" spans="1:20" s="1" customFormat="1" x14ac:dyDescent="0.25">
      <c r="A2" s="849" t="s">
        <v>1</v>
      </c>
      <c r="B2" s="795"/>
      <c r="C2" s="795"/>
      <c r="D2" s="858">
        <f>Formalien!$E$3</f>
        <v>0</v>
      </c>
      <c r="E2" s="859"/>
      <c r="F2" s="872"/>
      <c r="G2" s="872"/>
      <c r="H2" s="363" t="s">
        <v>519</v>
      </c>
      <c r="I2" s="868">
        <f>Formalien!$E$4</f>
        <v>0</v>
      </c>
      <c r="J2" s="868"/>
      <c r="K2" s="868"/>
    </row>
    <row r="3" spans="1:20" s="1" customFormat="1" x14ac:dyDescent="0.25">
      <c r="A3" s="849" t="s">
        <v>65</v>
      </c>
      <c r="B3" s="849"/>
      <c r="C3" s="849"/>
      <c r="D3" s="849"/>
      <c r="E3" s="366">
        <f>Formalien!$E$16</f>
        <v>0</v>
      </c>
      <c r="F3" s="364" t="s">
        <v>61</v>
      </c>
      <c r="G3" s="508"/>
      <c r="H3" s="508"/>
      <c r="I3" s="870">
        <f>Formalien!$E$5</f>
        <v>0</v>
      </c>
      <c r="J3" s="871"/>
      <c r="K3" s="871"/>
    </row>
    <row r="4" spans="1:20" s="1" customFormat="1" x14ac:dyDescent="0.25">
      <c r="A4" s="849" t="s">
        <v>0</v>
      </c>
      <c r="B4" s="849"/>
      <c r="C4" s="849"/>
      <c r="D4" s="849"/>
      <c r="E4" s="869">
        <f>Formalien!$E$6</f>
        <v>0</v>
      </c>
      <c r="F4" s="869"/>
      <c r="G4" s="869"/>
      <c r="H4" s="869"/>
      <c r="I4" s="869"/>
      <c r="J4" s="37"/>
      <c r="K4" s="37"/>
    </row>
    <row r="5" spans="1:20" s="1" customFormat="1" ht="16.5" thickBot="1" x14ac:dyDescent="0.3">
      <c r="A5" s="480"/>
      <c r="B5" s="481"/>
      <c r="C5" s="481"/>
      <c r="D5" s="482"/>
      <c r="E5" s="483"/>
      <c r="F5" s="483"/>
      <c r="G5" s="483"/>
      <c r="H5" s="484"/>
      <c r="I5" s="485"/>
      <c r="J5" s="486"/>
      <c r="K5" s="486"/>
    </row>
    <row r="6" spans="1:20" s="1" customFormat="1" x14ac:dyDescent="0.25">
      <c r="A6" s="364"/>
      <c r="B6" s="371"/>
      <c r="C6" s="371"/>
      <c r="D6" s="336"/>
      <c r="E6"/>
      <c r="F6"/>
      <c r="G6"/>
      <c r="H6" s="344"/>
      <c r="I6" s="345"/>
    </row>
    <row r="7" spans="1:20" ht="16.5" customHeight="1" thickBot="1" x14ac:dyDescent="0.3">
      <c r="A7" s="834" t="s">
        <v>198</v>
      </c>
      <c r="B7" s="834"/>
      <c r="C7" s="834"/>
      <c r="D7" s="834"/>
      <c r="E7" s="834"/>
      <c r="F7" s="834"/>
      <c r="G7" s="834"/>
      <c r="H7" s="377">
        <v>179.2</v>
      </c>
      <c r="I7" s="865" t="s">
        <v>355</v>
      </c>
      <c r="J7" s="866"/>
    </row>
    <row r="8" spans="1:20" ht="16.5" customHeight="1" x14ac:dyDescent="0.25">
      <c r="A8" s="836" t="s">
        <v>48</v>
      </c>
      <c r="B8" s="836"/>
      <c r="C8" s="378" t="s">
        <v>35</v>
      </c>
      <c r="D8" s="867" t="s">
        <v>38</v>
      </c>
      <c r="E8" s="867"/>
      <c r="F8" s="867"/>
      <c r="G8" s="867"/>
      <c r="H8" s="867"/>
      <c r="I8" s="376"/>
      <c r="J8" s="376"/>
    </row>
    <row r="9" spans="1:20" ht="16.5" customHeight="1" x14ac:dyDescent="0.25">
      <c r="A9" s="844"/>
      <c r="B9" s="844"/>
      <c r="C9" s="378" t="s">
        <v>14</v>
      </c>
      <c r="D9" s="836" t="s">
        <v>36</v>
      </c>
      <c r="E9" s="836"/>
      <c r="F9" s="836"/>
      <c r="G9" s="836"/>
      <c r="H9" s="836"/>
      <c r="I9" s="376"/>
      <c r="J9" s="376"/>
    </row>
    <row r="10" spans="1:20" ht="16.5" customHeight="1" x14ac:dyDescent="0.25">
      <c r="A10" s="844"/>
      <c r="B10" s="844"/>
      <c r="C10" s="378" t="s">
        <v>25</v>
      </c>
      <c r="D10" s="379" t="s">
        <v>435</v>
      </c>
      <c r="E10" s="379"/>
      <c r="F10" s="379"/>
      <c r="G10" s="379"/>
      <c r="H10" s="379"/>
      <c r="I10" s="379"/>
      <c r="J10" s="379"/>
    </row>
    <row r="11" spans="1:20" x14ac:dyDescent="0.25">
      <c r="A11" s="830" t="s">
        <v>11</v>
      </c>
      <c r="B11" s="833"/>
      <c r="C11" s="833"/>
      <c r="D11" s="833"/>
      <c r="E11" s="833"/>
      <c r="F11" s="833"/>
      <c r="G11" s="833"/>
      <c r="H11" s="833"/>
      <c r="I11" s="833"/>
      <c r="J11" s="833"/>
    </row>
    <row r="12" spans="1:20" ht="16.5" customHeight="1" x14ac:dyDescent="0.25">
      <c r="A12" s="380" t="s">
        <v>5</v>
      </c>
      <c r="B12" s="381" t="s">
        <v>536</v>
      </c>
      <c r="E12" s="374" t="s">
        <v>4</v>
      </c>
      <c r="F12">
        <f>Tabelle1!$D$88</f>
        <v>0</v>
      </c>
      <c r="G12" s="848" t="s">
        <v>294</v>
      </c>
      <c r="H12" s="848"/>
      <c r="I12" s="848"/>
      <c r="J12" s="848"/>
      <c r="M12" s="844"/>
      <c r="N12" s="844"/>
      <c r="O12" s="844"/>
      <c r="P12" s="844"/>
    </row>
    <row r="13" spans="1:20" ht="16.5" customHeight="1" x14ac:dyDescent="0.25">
      <c r="B13" s="372" t="s">
        <v>122</v>
      </c>
      <c r="C13" s="382"/>
      <c r="D13" s="843"/>
      <c r="E13" s="843"/>
      <c r="F13" s="843"/>
      <c r="H13" s="374" t="s">
        <v>298</v>
      </c>
      <c r="I13" s="383"/>
      <c r="J13" s="384"/>
      <c r="K13" s="315"/>
      <c r="M13" s="337"/>
      <c r="N13" s="385"/>
      <c r="O13" s="337"/>
    </row>
    <row r="14" spans="1:20" ht="16.5" customHeight="1" thickBot="1" x14ac:dyDescent="0.3">
      <c r="B14" s="374" t="s">
        <v>6</v>
      </c>
      <c r="C14" s="386">
        <f>Tabelle1!$B$90</f>
        <v>0</v>
      </c>
      <c r="D14" s="374" t="s">
        <v>16</v>
      </c>
      <c r="E14" s="387"/>
      <c r="F14" s="844" t="s">
        <v>299</v>
      </c>
      <c r="G14" s="844"/>
      <c r="H14" s="388">
        <f>ROUND(C14-C14*E14/100,2)</f>
        <v>0</v>
      </c>
      <c r="I14" s="388"/>
      <c r="J14" s="384"/>
      <c r="M14" s="365"/>
      <c r="N14" s="342"/>
      <c r="O14" s="342"/>
      <c r="P14" s="834"/>
      <c r="Q14" s="834"/>
      <c r="R14" s="834"/>
      <c r="S14" s="373"/>
      <c r="T14" s="373"/>
    </row>
    <row r="15" spans="1:20" ht="16.5" customHeight="1" thickBot="1" x14ac:dyDescent="0.3">
      <c r="B15" s="388"/>
      <c r="C15" s="389">
        <f>$H$14</f>
        <v>0</v>
      </c>
      <c r="D15" s="374" t="s">
        <v>16</v>
      </c>
      <c r="E15" s="390">
        <f>Tabelle1!$I$90</f>
        <v>0</v>
      </c>
      <c r="F15" s="834" t="s">
        <v>300</v>
      </c>
      <c r="G15" s="834"/>
      <c r="H15" s="388">
        <f>ROUND(C15-C15*E15%,2)</f>
        <v>0</v>
      </c>
      <c r="J15" s="384"/>
      <c r="M15" s="391" t="s">
        <v>44</v>
      </c>
      <c r="N15" s="392" t="s">
        <v>154</v>
      </c>
      <c r="O15" s="393"/>
      <c r="P15" s="394" t="s">
        <v>14</v>
      </c>
      <c r="S15" s="372"/>
      <c r="T15" s="373"/>
    </row>
    <row r="16" spans="1:20" ht="16.5" customHeight="1" thickBot="1" x14ac:dyDescent="0.3">
      <c r="C16" s="395">
        <f>$H$15</f>
        <v>0</v>
      </c>
      <c r="D16" s="379" t="s">
        <v>18</v>
      </c>
      <c r="E16" s="372">
        <f>H7/100</f>
        <v>1.7919999999999998</v>
      </c>
      <c r="F16" s="836" t="s">
        <v>436</v>
      </c>
      <c r="G16" s="836"/>
      <c r="H16" s="388">
        <f>ROUND(C16*E16,2)</f>
        <v>0</v>
      </c>
      <c r="J16" s="384"/>
      <c r="M16" s="396" t="s">
        <v>40</v>
      </c>
      <c r="N16" s="863" t="s">
        <v>40</v>
      </c>
      <c r="O16" s="864"/>
      <c r="P16" s="397"/>
    </row>
    <row r="17" spans="1:18" ht="16.5" customHeight="1" thickBot="1" x14ac:dyDescent="0.3">
      <c r="A17" s="398"/>
      <c r="B17" s="372" t="s">
        <v>185</v>
      </c>
      <c r="C17" s="384">
        <f>$H$16</f>
        <v>0</v>
      </c>
      <c r="D17" s="399" t="s">
        <v>9</v>
      </c>
      <c r="E17" s="384">
        <f>ROUND(A17*C17,2)</f>
        <v>0</v>
      </c>
      <c r="F17" s="835"/>
      <c r="G17" s="835"/>
      <c r="H17" s="835"/>
      <c r="I17" s="378" t="s">
        <v>158</v>
      </c>
      <c r="J17" s="400" t="str">
        <f>$B$12</f>
        <v>L</v>
      </c>
      <c r="K17" s="645">
        <f>E17</f>
        <v>0</v>
      </c>
      <c r="M17" s="402" t="s">
        <v>159</v>
      </c>
      <c r="N17" s="403" t="str">
        <f>N45</f>
        <v xml:space="preserve">Stein 17,50 - 23,99 cm </v>
      </c>
      <c r="O17" s="404"/>
      <c r="P17" s="405">
        <v>515</v>
      </c>
    </row>
    <row r="18" spans="1:18" ht="16.5" customHeight="1" thickBot="1" x14ac:dyDescent="0.3">
      <c r="A18" s="406" t="s">
        <v>186</v>
      </c>
      <c r="D18" s="407"/>
      <c r="E18" s="408"/>
      <c r="F18" s="266"/>
      <c r="G18" s="266"/>
      <c r="H18" s="266"/>
      <c r="J18" s="384"/>
      <c r="M18" s="402" t="s">
        <v>160</v>
      </c>
      <c r="N18" s="403" t="str">
        <f>N46</f>
        <v>Stein 24,00 - 35,99 cm</v>
      </c>
      <c r="O18" s="404"/>
      <c r="P18" s="405">
        <v>595</v>
      </c>
    </row>
    <row r="19" spans="1:18" ht="16.5" customHeight="1" thickBot="1" x14ac:dyDescent="0.3">
      <c r="A19" s="378" t="s">
        <v>5</v>
      </c>
      <c r="B19" s="694" t="s">
        <v>536</v>
      </c>
      <c r="C19" s="806" t="s">
        <v>631</v>
      </c>
      <c r="D19" s="806"/>
      <c r="E19" s="806"/>
      <c r="F19" s="806"/>
      <c r="G19" s="806"/>
      <c r="H19" s="806"/>
      <c r="I19" s="695">
        <v>1</v>
      </c>
      <c r="J19" t="s">
        <v>79</v>
      </c>
      <c r="M19" s="402" t="s">
        <v>161</v>
      </c>
      <c r="N19" s="403" t="str">
        <f>N47</f>
        <v>Stein ab 36,00 cm</v>
      </c>
      <c r="O19" s="404"/>
      <c r="P19" s="405">
        <v>704</v>
      </c>
    </row>
    <row r="20" spans="1:18" ht="16.5" customHeight="1" x14ac:dyDescent="0.25">
      <c r="A20" s="378"/>
      <c r="B20" s="693"/>
      <c r="C20"/>
      <c r="D20"/>
      <c r="E20"/>
      <c r="F20"/>
      <c r="G20"/>
      <c r="H20"/>
      <c r="I20"/>
      <c r="J20"/>
      <c r="M20" s="402" t="s">
        <v>41</v>
      </c>
      <c r="N20" s="862" t="s">
        <v>41</v>
      </c>
      <c r="O20" s="818"/>
      <c r="P20" s="405"/>
    </row>
    <row r="21" spans="1:18" x14ac:dyDescent="0.25">
      <c r="A21" s="380" t="s">
        <v>5</v>
      </c>
      <c r="B21" s="409" t="s">
        <v>360</v>
      </c>
      <c r="E21" s="374" t="s">
        <v>4</v>
      </c>
      <c r="F21" s="372">
        <f>Tabelle1!$D$93</f>
        <v>0</v>
      </c>
      <c r="G21" s="848" t="s">
        <v>294</v>
      </c>
      <c r="H21" s="848"/>
      <c r="I21" s="848"/>
      <c r="J21" s="848"/>
      <c r="M21" s="402" t="s">
        <v>162</v>
      </c>
      <c r="N21" s="410" t="str">
        <f>N48</f>
        <v>Stein 10,00 - 12,00 cm</v>
      </c>
      <c r="O21" s="411"/>
      <c r="P21" s="405">
        <v>350</v>
      </c>
    </row>
    <row r="22" spans="1:18" ht="16.5" customHeight="1" x14ac:dyDescent="0.25">
      <c r="B22" s="372" t="s">
        <v>122</v>
      </c>
      <c r="C22" s="382"/>
      <c r="D22" s="843"/>
      <c r="E22" s="843"/>
      <c r="F22" s="843"/>
      <c r="H22" s="374" t="s">
        <v>298</v>
      </c>
      <c r="I22" s="383"/>
      <c r="J22" s="384"/>
      <c r="K22" s="315"/>
      <c r="M22" s="412" t="s">
        <v>163</v>
      </c>
      <c r="N22" s="403" t="str">
        <f>N49</f>
        <v>Stein 12,01 - 17,49 cm</v>
      </c>
      <c r="O22" s="404"/>
      <c r="P22" s="405">
        <v>490</v>
      </c>
    </row>
    <row r="23" spans="1:18" ht="16.5" customHeight="1" x14ac:dyDescent="0.25">
      <c r="B23" s="374" t="s">
        <v>6</v>
      </c>
      <c r="C23" s="386">
        <f>Tabelle1!$B$95</f>
        <v>0</v>
      </c>
      <c r="D23" s="374" t="s">
        <v>16</v>
      </c>
      <c r="E23" s="387"/>
      <c r="F23" s="844" t="s">
        <v>299</v>
      </c>
      <c r="G23" s="844"/>
      <c r="H23" s="388">
        <f>ROUND(C23-C23*E23/100,2)</f>
        <v>0</v>
      </c>
      <c r="I23" s="388"/>
      <c r="J23" s="384"/>
      <c r="M23" s="402" t="s">
        <v>42</v>
      </c>
      <c r="N23" s="817" t="s">
        <v>42</v>
      </c>
      <c r="O23" s="818"/>
      <c r="P23" s="405"/>
    </row>
    <row r="24" spans="1:18" ht="16.5" customHeight="1" x14ac:dyDescent="0.25">
      <c r="B24" s="388"/>
      <c r="C24" s="395">
        <f>$H$23</f>
        <v>0</v>
      </c>
      <c r="D24" s="374" t="s">
        <v>16</v>
      </c>
      <c r="E24" s="390">
        <f>Tabelle1!$I$95</f>
        <v>0</v>
      </c>
      <c r="F24" s="834" t="s">
        <v>300</v>
      </c>
      <c r="G24" s="834"/>
      <c r="H24" s="388">
        <f>ROUND(C24-C24*E24%,2)</f>
        <v>0</v>
      </c>
      <c r="J24" s="384"/>
      <c r="M24" s="402" t="s">
        <v>164</v>
      </c>
      <c r="N24" s="403" t="str">
        <f t="shared" ref="N24:N29" si="0">N50</f>
        <v>Blockhaus 6,00 - 7,49 cm</v>
      </c>
      <c r="O24" s="404"/>
      <c r="P24" s="405">
        <v>420</v>
      </c>
    </row>
    <row r="25" spans="1:18" ht="16.5" customHeight="1" thickBot="1" x14ac:dyDescent="0.3">
      <c r="C25" s="388">
        <f>$H$24</f>
        <v>0</v>
      </c>
      <c r="D25" s="379" t="s">
        <v>18</v>
      </c>
      <c r="E25" s="372">
        <f>H7/100</f>
        <v>1.7919999999999998</v>
      </c>
      <c r="F25" s="836" t="s">
        <v>436</v>
      </c>
      <c r="G25" s="836"/>
      <c r="H25" s="388">
        <f>ROUND(C25*E25,2)</f>
        <v>0</v>
      </c>
      <c r="J25" s="384"/>
      <c r="M25" s="402" t="s">
        <v>165</v>
      </c>
      <c r="N25" s="403" t="str">
        <f t="shared" si="0"/>
        <v>Blockhaus 7,50 - 8,99 cm</v>
      </c>
      <c r="O25" s="404"/>
      <c r="P25" s="405">
        <v>555</v>
      </c>
    </row>
    <row r="26" spans="1:18" ht="16.5" customHeight="1" thickBot="1" x14ac:dyDescent="0.3">
      <c r="A26" s="398"/>
      <c r="B26" s="372" t="s">
        <v>185</v>
      </c>
      <c r="C26" s="384">
        <f>$H$25</f>
        <v>0</v>
      </c>
      <c r="D26" s="399" t="s">
        <v>9</v>
      </c>
      <c r="E26" s="384">
        <f>ROUND(A26*C26,2)</f>
        <v>0</v>
      </c>
      <c r="F26" s="835"/>
      <c r="G26" s="835"/>
      <c r="H26" s="835"/>
      <c r="I26" s="378" t="s">
        <v>158</v>
      </c>
      <c r="J26" s="414" t="str">
        <f>$B$21</f>
        <v>A1</v>
      </c>
      <c r="K26" s="401">
        <f>E26</f>
        <v>0</v>
      </c>
      <c r="M26" s="402" t="s">
        <v>166</v>
      </c>
      <c r="N26" s="403" t="str">
        <f t="shared" si="0"/>
        <v xml:space="preserve">Blockhaus ab 9,0 cm </v>
      </c>
      <c r="O26" s="404"/>
      <c r="P26" s="405">
        <v>672</v>
      </c>
    </row>
    <row r="27" spans="1:18" ht="15.75" thickBot="1" x14ac:dyDescent="0.3">
      <c r="A27" s="406" t="s">
        <v>186</v>
      </c>
      <c r="M27" s="402" t="s">
        <v>164</v>
      </c>
      <c r="N27" s="415" t="str">
        <f t="shared" si="0"/>
        <v>Doppelt Holz 10,01 - 14,99 cm</v>
      </c>
      <c r="O27" s="416"/>
      <c r="P27" s="405">
        <v>420</v>
      </c>
    </row>
    <row r="28" spans="1:18" ht="15.75" thickBot="1" x14ac:dyDescent="0.3">
      <c r="A28" s="378" t="s">
        <v>5</v>
      </c>
      <c r="B28" s="694" t="s">
        <v>360</v>
      </c>
      <c r="C28" s="806" t="s">
        <v>632</v>
      </c>
      <c r="D28" s="806"/>
      <c r="E28" s="806"/>
      <c r="F28" s="806"/>
      <c r="G28" s="806"/>
      <c r="H28" s="806"/>
      <c r="I28" s="695">
        <v>2</v>
      </c>
      <c r="J28" t="s">
        <v>79</v>
      </c>
      <c r="M28" s="402" t="s">
        <v>165</v>
      </c>
      <c r="N28" s="415" t="str">
        <f t="shared" si="0"/>
        <v xml:space="preserve">Doppelt Holz 15,00 - 19,99 cm </v>
      </c>
      <c r="O28" s="416"/>
      <c r="P28" s="405">
        <v>555</v>
      </c>
    </row>
    <row r="29" spans="1:18" x14ac:dyDescent="0.25">
      <c r="A29" s="378"/>
      <c r="B29" s="693"/>
      <c r="C29"/>
      <c r="D29"/>
      <c r="E29"/>
      <c r="F29"/>
      <c r="G29"/>
      <c r="H29"/>
      <c r="I29"/>
      <c r="J29"/>
      <c r="M29" s="419" t="s">
        <v>166</v>
      </c>
      <c r="N29" s="415" t="str">
        <f t="shared" si="0"/>
        <v>Doppelt Holz ab 20,00 cm</v>
      </c>
      <c r="O29" s="416"/>
      <c r="P29" s="405">
        <v>672</v>
      </c>
    </row>
    <row r="30" spans="1:18" ht="16.5" customHeight="1" x14ac:dyDescent="0.25">
      <c r="A30" s="380" t="s">
        <v>5</v>
      </c>
      <c r="B30" s="381" t="s">
        <v>361</v>
      </c>
      <c r="E30" s="374" t="s">
        <v>4</v>
      </c>
      <c r="F30" s="372">
        <f>Tabelle1!$D$98</f>
        <v>0</v>
      </c>
      <c r="G30" s="848" t="s">
        <v>294</v>
      </c>
      <c r="H30" s="848"/>
      <c r="I30" s="848"/>
      <c r="J30" s="848"/>
      <c r="M30" s="420" t="s">
        <v>43</v>
      </c>
      <c r="N30" s="819" t="s">
        <v>43</v>
      </c>
      <c r="O30" s="818"/>
      <c r="P30" s="421"/>
    </row>
    <row r="31" spans="1:18" ht="16.5" customHeight="1" x14ac:dyDescent="0.25">
      <c r="B31" s="372" t="s">
        <v>122</v>
      </c>
      <c r="C31" s="382"/>
      <c r="D31" s="843"/>
      <c r="E31" s="843"/>
      <c r="F31" s="843"/>
      <c r="H31" s="374" t="s">
        <v>298</v>
      </c>
      <c r="I31" s="383"/>
      <c r="J31" s="384"/>
      <c r="K31" s="315"/>
      <c r="M31" s="402" t="s">
        <v>167</v>
      </c>
      <c r="N31" s="423" t="str">
        <f>N58</f>
        <v xml:space="preserve">Blockhaus bis 3,00 cm </v>
      </c>
      <c r="O31" s="424"/>
      <c r="P31" s="405">
        <v>265</v>
      </c>
    </row>
    <row r="32" spans="1:18" ht="16.5" customHeight="1" x14ac:dyDescent="0.25">
      <c r="B32" s="374" t="s">
        <v>6</v>
      </c>
      <c r="C32" s="417">
        <f>Tabelle1!$B$100</f>
        <v>0</v>
      </c>
      <c r="D32" s="374" t="s">
        <v>16</v>
      </c>
      <c r="E32" s="387"/>
      <c r="F32" s="844" t="s">
        <v>299</v>
      </c>
      <c r="G32" s="844"/>
      <c r="H32" s="388">
        <f>ROUND(C32-C32*E32/100,2)</f>
        <v>0</v>
      </c>
      <c r="I32" s="388"/>
      <c r="J32" s="384"/>
      <c r="M32" s="402" t="s">
        <v>168</v>
      </c>
      <c r="N32" s="423" t="str">
        <f>N61</f>
        <v>Blockhaus 3,01 - 4,99 cm</v>
      </c>
      <c r="O32" s="424"/>
      <c r="P32" s="405">
        <v>325</v>
      </c>
      <c r="Q32" s="372"/>
      <c r="R32" s="372"/>
    </row>
    <row r="33" spans="1:18" ht="16.5" customHeight="1" x14ac:dyDescent="0.25">
      <c r="B33" s="388"/>
      <c r="C33" s="395">
        <f>$H$23</f>
        <v>0</v>
      </c>
      <c r="D33" s="374" t="s">
        <v>16</v>
      </c>
      <c r="E33" s="418">
        <f>Tabelle1!$I$100</f>
        <v>0</v>
      </c>
      <c r="F33" s="834" t="s">
        <v>300</v>
      </c>
      <c r="G33" s="834"/>
      <c r="H33" s="388">
        <f>ROUND(C33-C33*E33%,2)</f>
        <v>0</v>
      </c>
      <c r="J33" s="384"/>
      <c r="M33" s="402" t="s">
        <v>169</v>
      </c>
      <c r="N33" s="423" t="str">
        <f>N62</f>
        <v>Blockhaus ab 5,00 cm</v>
      </c>
      <c r="O33" s="424"/>
      <c r="P33" s="405">
        <v>420</v>
      </c>
      <c r="Q33" s="372"/>
      <c r="R33" s="372"/>
    </row>
    <row r="34" spans="1:18" ht="16.5" customHeight="1" thickBot="1" x14ac:dyDescent="0.3">
      <c r="C34" s="388">
        <f>$H$33</f>
        <v>0</v>
      </c>
      <c r="D34" s="379" t="s">
        <v>18</v>
      </c>
      <c r="E34" s="372">
        <f>$E$16</f>
        <v>1.7919999999999998</v>
      </c>
      <c r="F34" s="836" t="s">
        <v>436</v>
      </c>
      <c r="G34" s="836"/>
      <c r="H34" s="388">
        <f>ROUND(C34*E34,2)</f>
        <v>0</v>
      </c>
      <c r="J34" s="384"/>
      <c r="M34" s="402" t="s">
        <v>167</v>
      </c>
      <c r="N34" s="423" t="str">
        <f>N63</f>
        <v>Doppelwand bis 4,00 cm</v>
      </c>
      <c r="O34" s="424"/>
      <c r="P34" s="405">
        <v>265</v>
      </c>
      <c r="Q34" s="372"/>
      <c r="R34" s="372"/>
    </row>
    <row r="35" spans="1:18" ht="16.5" customHeight="1" thickBot="1" x14ac:dyDescent="0.3">
      <c r="A35" s="398"/>
      <c r="B35" s="372" t="s">
        <v>185</v>
      </c>
      <c r="C35" s="384">
        <f>$H$34</f>
        <v>0</v>
      </c>
      <c r="D35" s="399" t="s">
        <v>9</v>
      </c>
      <c r="E35" s="384">
        <f>ROUND(A35*C35,2)</f>
        <v>0</v>
      </c>
      <c r="F35" s="835"/>
      <c r="G35" s="835"/>
      <c r="H35" s="835"/>
      <c r="I35" s="378" t="s">
        <v>158</v>
      </c>
      <c r="J35" s="422" t="str">
        <f>$B$30</f>
        <v>A2</v>
      </c>
      <c r="K35" s="401">
        <f>E35</f>
        <v>0</v>
      </c>
      <c r="M35" s="419" t="s">
        <v>169</v>
      </c>
      <c r="N35" s="425" t="str">
        <f>N65</f>
        <v>Doppelwand 8,01 - 10,00 cm</v>
      </c>
      <c r="O35" s="424"/>
      <c r="P35" s="405">
        <v>420</v>
      </c>
      <c r="Q35" s="407"/>
      <c r="R35" s="372"/>
    </row>
    <row r="36" spans="1:18" ht="16.5" customHeight="1" thickBot="1" x14ac:dyDescent="0.3">
      <c r="A36" s="406" t="s">
        <v>186</v>
      </c>
    </row>
    <row r="37" spans="1:18" ht="16.149999999999999" customHeight="1" thickBot="1" x14ac:dyDescent="0.3">
      <c r="A37" s="378" t="s">
        <v>5</v>
      </c>
      <c r="B37" s="694" t="s">
        <v>361</v>
      </c>
      <c r="C37" s="806" t="s">
        <v>631</v>
      </c>
      <c r="D37" s="806"/>
      <c r="E37" s="806"/>
      <c r="F37" s="806"/>
      <c r="G37" s="806"/>
      <c r="H37" s="806"/>
      <c r="I37" s="695">
        <v>3</v>
      </c>
      <c r="J37" t="s">
        <v>79</v>
      </c>
    </row>
    <row r="38" spans="1:18" ht="16.149999999999999" customHeight="1" thickBot="1" x14ac:dyDescent="0.3">
      <c r="A38" s="378"/>
      <c r="B38" s="854" t="s">
        <v>633</v>
      </c>
      <c r="C38" s="806"/>
      <c r="D38" s="806"/>
      <c r="E38" s="806"/>
      <c r="F38" s="855"/>
      <c r="G38" s="855"/>
      <c r="H38"/>
      <c r="I38" s="695">
        <f>I19+I28+I37</f>
        <v>6</v>
      </c>
      <c r="J38" t="s">
        <v>79</v>
      </c>
      <c r="M38" s="340"/>
      <c r="N38" s="696"/>
      <c r="O38" s="365"/>
      <c r="P38" s="342"/>
    </row>
    <row r="39" spans="1:18" ht="16.5" customHeight="1" x14ac:dyDescent="0.25">
      <c r="A39" s="833" t="s">
        <v>437</v>
      </c>
      <c r="B39" s="833"/>
      <c r="C39" s="833"/>
      <c r="D39" s="833"/>
      <c r="E39" s="833"/>
      <c r="F39" s="833"/>
      <c r="G39" s="833"/>
      <c r="H39" s="833"/>
      <c r="I39" s="833"/>
    </row>
    <row r="40" spans="1:18" ht="16.5" customHeight="1" x14ac:dyDescent="0.25">
      <c r="A40" s="836" t="s">
        <v>438</v>
      </c>
      <c r="B40" s="836"/>
      <c r="C40" s="836"/>
      <c r="D40" s="381" t="s">
        <v>362</v>
      </c>
      <c r="E40" s="834" t="s">
        <v>175</v>
      </c>
      <c r="F40" s="834"/>
      <c r="G40" s="398"/>
      <c r="H40" s="374" t="s">
        <v>183</v>
      </c>
      <c r="I40" s="505"/>
    </row>
    <row r="41" spans="1:18" ht="16.5" customHeight="1" x14ac:dyDescent="0.25">
      <c r="C41" s="372" t="s">
        <v>14</v>
      </c>
      <c r="D41" s="503"/>
      <c r="E41" s="372" t="s">
        <v>16</v>
      </c>
      <c r="F41" s="504">
        <v>0.1</v>
      </c>
      <c r="G41" s="374" t="s">
        <v>57</v>
      </c>
      <c r="H41" s="399" t="s">
        <v>9</v>
      </c>
      <c r="I41" s="426">
        <f>ROUND(D41-D41*F41,2)</f>
        <v>0</v>
      </c>
      <c r="M41" s="331"/>
      <c r="N41" s="365"/>
      <c r="O41" s="331"/>
      <c r="P41" s="342"/>
    </row>
    <row r="42" spans="1:18" ht="16.5" customHeight="1" x14ac:dyDescent="0.25">
      <c r="C42" s="373">
        <f>I41</f>
        <v>0</v>
      </c>
      <c r="D42" s="372" t="s">
        <v>16</v>
      </c>
      <c r="E42" s="372">
        <f>I40*G40</f>
        <v>0</v>
      </c>
      <c r="F42" s="379" t="s">
        <v>188</v>
      </c>
      <c r="G42" s="379"/>
      <c r="H42" s="399">
        <v>5</v>
      </c>
      <c r="I42" s="373">
        <f>IF(E42&gt;99,"abgeschrieben",ROUND(C42-C42*E42%,2))</f>
        <v>0</v>
      </c>
    </row>
    <row r="43" spans="1:18" ht="16.5" customHeight="1" thickBot="1" x14ac:dyDescent="0.3">
      <c r="C43" s="373">
        <f>IF(I42="abgeschrieben",0,I42)</f>
        <v>0</v>
      </c>
      <c r="D43" s="372" t="s">
        <v>18</v>
      </c>
      <c r="E43" s="372">
        <f>H7/100</f>
        <v>1.7919999999999998</v>
      </c>
      <c r="F43" s="860" t="s">
        <v>13</v>
      </c>
      <c r="G43" s="860"/>
      <c r="H43" s="399" t="s">
        <v>9</v>
      </c>
      <c r="I43" s="373">
        <f>ROUND(C43*E43,2)</f>
        <v>0</v>
      </c>
    </row>
    <row r="44" spans="1:18" ht="15.75" thickBot="1" x14ac:dyDescent="0.3">
      <c r="A44" s="372" t="s">
        <v>439</v>
      </c>
      <c r="F44" s="398"/>
      <c r="G44" s="372" t="s">
        <v>17</v>
      </c>
      <c r="H44" s="373">
        <f>I43</f>
        <v>0</v>
      </c>
      <c r="I44" s="399" t="s">
        <v>440</v>
      </c>
      <c r="J44" s="427" t="str">
        <f>$D$40</f>
        <v>GWH</v>
      </c>
      <c r="K44" s="401">
        <f>ROUND(F44*H44,2)</f>
        <v>0</v>
      </c>
      <c r="N44" s="428" t="s">
        <v>341</v>
      </c>
    </row>
    <row r="45" spans="1:18" ht="16.5" customHeight="1" x14ac:dyDescent="0.25">
      <c r="N45" s="429" t="str">
        <f>Tabelle1!J87</f>
        <v xml:space="preserve">Stein 17,50 - 23,99 cm </v>
      </c>
      <c r="P45" s="76" t="s">
        <v>327</v>
      </c>
      <c r="Q45" s="76"/>
      <c r="R45" s="76"/>
    </row>
    <row r="46" spans="1:18" x14ac:dyDescent="0.25">
      <c r="A46" s="430" t="s">
        <v>290</v>
      </c>
      <c r="B46" s="430"/>
      <c r="C46" s="430"/>
      <c r="F46" s="431"/>
      <c r="H46" s="374"/>
      <c r="I46" s="432"/>
      <c r="J46" s="431"/>
      <c r="N46" s="433" t="str">
        <f>Tabelle1!J88</f>
        <v>Stein 24,00 - 35,99 cm</v>
      </c>
      <c r="P46" s="76" t="s">
        <v>328</v>
      </c>
      <c r="Q46" s="76"/>
      <c r="R46" s="76">
        <v>3</v>
      </c>
    </row>
    <row r="47" spans="1:18" x14ac:dyDescent="0.25">
      <c r="A47" s="380" t="s">
        <v>5</v>
      </c>
      <c r="B47" s="381" t="s">
        <v>365</v>
      </c>
      <c r="E47" s="374" t="s">
        <v>4</v>
      </c>
      <c r="F47" s="372">
        <f>Tabelle1!$D$103</f>
        <v>0</v>
      </c>
      <c r="G47" s="848" t="s">
        <v>294</v>
      </c>
      <c r="H47" s="848"/>
      <c r="I47" s="848"/>
      <c r="J47" s="434"/>
      <c r="N47" s="433" t="str">
        <f>Tabelle1!J89</f>
        <v>Stein ab 36,00 cm</v>
      </c>
      <c r="P47" s="76" t="s">
        <v>329</v>
      </c>
      <c r="Q47" s="76"/>
      <c r="R47" s="76">
        <v>4</v>
      </c>
    </row>
    <row r="48" spans="1:18" x14ac:dyDescent="0.25">
      <c r="B48" s="372" t="s">
        <v>122</v>
      </c>
      <c r="C48" s="382"/>
      <c r="D48" s="842"/>
      <c r="E48" s="843"/>
      <c r="F48" s="843"/>
      <c r="H48" s="374" t="s">
        <v>298</v>
      </c>
      <c r="I48" s="383"/>
      <c r="J48" s="384"/>
      <c r="K48" s="315"/>
      <c r="N48" s="433" t="str">
        <f>Tabelle1!J90</f>
        <v>Stein 10,00 - 12,00 cm</v>
      </c>
      <c r="P48" s="76" t="s">
        <v>330</v>
      </c>
      <c r="Q48" s="76"/>
      <c r="R48" s="76">
        <v>5</v>
      </c>
    </row>
    <row r="49" spans="1:18" x14ac:dyDescent="0.25">
      <c r="B49" s="374" t="s">
        <v>6</v>
      </c>
      <c r="C49" s="386">
        <f>Tabelle1!$B$105</f>
        <v>0</v>
      </c>
      <c r="D49" s="374" t="s">
        <v>16</v>
      </c>
      <c r="E49" s="435"/>
      <c r="F49" s="844" t="s">
        <v>299</v>
      </c>
      <c r="G49" s="844"/>
      <c r="H49" s="388">
        <f>ROUND(C49-C49*E49/100,2)</f>
        <v>0</v>
      </c>
      <c r="I49" s="388"/>
      <c r="J49" s="384"/>
      <c r="N49" s="433" t="str">
        <f>Tabelle1!J91</f>
        <v>Stein 12,01 - 17,49 cm</v>
      </c>
      <c r="P49" s="76" t="s">
        <v>331</v>
      </c>
      <c r="Q49" s="76"/>
      <c r="R49" s="76">
        <v>7</v>
      </c>
    </row>
    <row r="50" spans="1:18" x14ac:dyDescent="0.25">
      <c r="B50" s="388"/>
      <c r="C50" s="388">
        <f>H49</f>
        <v>0</v>
      </c>
      <c r="D50" s="374" t="s">
        <v>16</v>
      </c>
      <c r="E50" s="418">
        <f>Tabelle1!$I$105</f>
        <v>0</v>
      </c>
      <c r="F50" s="844" t="s">
        <v>300</v>
      </c>
      <c r="G50" s="844"/>
      <c r="H50" s="388">
        <f>ROUND(C50-C50*E50%,2)</f>
        <v>0</v>
      </c>
      <c r="J50" s="384"/>
      <c r="N50" s="433" t="str">
        <f>Tabelle1!J92</f>
        <v>Blockhaus 6,00 - 7,49 cm</v>
      </c>
      <c r="P50" s="76" t="s">
        <v>332</v>
      </c>
      <c r="Q50" s="76"/>
      <c r="R50" s="76">
        <v>10</v>
      </c>
    </row>
    <row r="51" spans="1:18" x14ac:dyDescent="0.25">
      <c r="C51" s="388">
        <f>H50</f>
        <v>0</v>
      </c>
      <c r="D51" s="379" t="s">
        <v>18</v>
      </c>
      <c r="E51" s="372">
        <f>H7/100</f>
        <v>1.7919999999999998</v>
      </c>
      <c r="F51" s="379" t="s">
        <v>436</v>
      </c>
      <c r="G51" s="379"/>
      <c r="H51" s="388">
        <f>ROUND(C51*E51,2)</f>
        <v>0</v>
      </c>
      <c r="J51" s="384"/>
      <c r="N51" s="433" t="str">
        <f>Tabelle1!J93</f>
        <v>Blockhaus 7,50 - 8,99 cm</v>
      </c>
    </row>
    <row r="52" spans="1:18" ht="15.75" thickBot="1" x14ac:dyDescent="0.3">
      <c r="A52" s="398"/>
      <c r="B52" s="372" t="s">
        <v>185</v>
      </c>
      <c r="C52" s="388">
        <f>$H$51</f>
        <v>0</v>
      </c>
      <c r="D52" s="399" t="s">
        <v>9</v>
      </c>
      <c r="E52" s="384">
        <f>ROUND(A52*C52,2)</f>
        <v>0</v>
      </c>
      <c r="F52" s="287"/>
      <c r="G52" s="287"/>
      <c r="H52" s="287"/>
      <c r="I52" s="378" t="s">
        <v>158</v>
      </c>
      <c r="J52" s="414" t="str">
        <f>$B$21</f>
        <v>A1</v>
      </c>
      <c r="K52" s="384">
        <f>E52</f>
        <v>0</v>
      </c>
      <c r="N52" s="433" t="str">
        <f>Tabelle1!J94</f>
        <v xml:space="preserve">Blockhaus ab 9,0 cm </v>
      </c>
    </row>
    <row r="53" spans="1:18" ht="14.45" customHeight="1" thickBot="1" x14ac:dyDescent="0.3">
      <c r="A53" s="406" t="s">
        <v>186</v>
      </c>
      <c r="I53" s="372" t="s">
        <v>296</v>
      </c>
      <c r="J53" s="436"/>
      <c r="K53" s="437">
        <f>SUM(K14:K52)</f>
        <v>0</v>
      </c>
      <c r="N53" s="438" t="str">
        <f>Tabelle1!J95</f>
        <v>Doppelt Holz 10,01 - 14,99 cm</v>
      </c>
    </row>
    <row r="54" spans="1:18" x14ac:dyDescent="0.25">
      <c r="K54" s="372" t="s">
        <v>561</v>
      </c>
      <c r="N54" s="438" t="str">
        <f>Tabelle1!J96</f>
        <v xml:space="preserve">Doppelt Holz 15,00 - 19,99 cm </v>
      </c>
    </row>
    <row r="55" spans="1:18" ht="18.600000000000001" customHeight="1" x14ac:dyDescent="0.25">
      <c r="A55" s="566" t="s">
        <v>550</v>
      </c>
      <c r="B55" s="566"/>
      <c r="C55" s="566"/>
      <c r="D55" s="569"/>
      <c r="E55" s="478"/>
      <c r="F55" s="478"/>
      <c r="G55" s="478"/>
      <c r="H55" s="478"/>
      <c r="N55" s="438" t="str">
        <f>Tabelle1!J97</f>
        <v>Doppelt Holz ab 20,00 cm</v>
      </c>
    </row>
    <row r="56" spans="1:18" x14ac:dyDescent="0.25">
      <c r="A56" s="849" t="s">
        <v>1</v>
      </c>
      <c r="B56" s="850"/>
      <c r="C56" s="850"/>
      <c r="D56" s="858">
        <f>Formalien!$E$3</f>
        <v>0</v>
      </c>
      <c r="E56" s="859"/>
      <c r="F56" s="806"/>
      <c r="G56" s="806"/>
      <c r="H56" s="363" t="s">
        <v>3</v>
      </c>
      <c r="I56" s="369">
        <f>Formalien!$E$4</f>
        <v>0</v>
      </c>
      <c r="J56" s="1"/>
      <c r="K56" s="1"/>
      <c r="N56" s="438"/>
    </row>
    <row r="57" spans="1:18" x14ac:dyDescent="0.25">
      <c r="A57" s="849" t="s">
        <v>65</v>
      </c>
      <c r="B57" s="795"/>
      <c r="C57" s="795"/>
      <c r="D57" s="366">
        <f>Formalien!$E$16</f>
        <v>0</v>
      </c>
      <c r="E57" s="364" t="s">
        <v>61</v>
      </c>
      <c r="F57" s="365"/>
      <c r="G57" s="341"/>
      <c r="H57" s="341"/>
      <c r="I57" s="856"/>
      <c r="J57" s="806"/>
      <c r="K57" s="806"/>
      <c r="N57" s="438"/>
    </row>
    <row r="58" spans="1:18" x14ac:dyDescent="0.25">
      <c r="A58" s="849" t="s">
        <v>0</v>
      </c>
      <c r="B58" s="795"/>
      <c r="C58" s="795"/>
      <c r="D58" s="861">
        <f>Formalien!$E$6</f>
        <v>0</v>
      </c>
      <c r="E58" s="806"/>
      <c r="F58" s="806"/>
      <c r="G58" s="806"/>
      <c r="H58" s="344"/>
      <c r="I58" s="345"/>
      <c r="J58" s="1"/>
      <c r="K58" s="1"/>
      <c r="N58" s="433" t="str">
        <f>Tabelle1!J98</f>
        <v xml:space="preserve">Blockhaus bis 3,00 cm </v>
      </c>
    </row>
    <row r="59" spans="1:18" ht="15.75" thickBot="1" x14ac:dyDescent="0.3">
      <c r="A59" s="487"/>
      <c r="B59" s="488"/>
      <c r="C59" s="488"/>
      <c r="D59" s="334"/>
      <c r="E59" s="80"/>
      <c r="F59" s="80"/>
      <c r="G59" s="80"/>
      <c r="H59" s="489"/>
      <c r="I59" s="490"/>
      <c r="J59" s="2"/>
      <c r="K59" s="2"/>
      <c r="N59" s="433"/>
    </row>
    <row r="60" spans="1:18" ht="15.75" thickBot="1" x14ac:dyDescent="0.3">
      <c r="A60" s="364"/>
      <c r="B60" s="371"/>
      <c r="C60" s="371"/>
      <c r="D60" s="336"/>
      <c r="E60"/>
      <c r="F60"/>
      <c r="G60"/>
      <c r="H60" s="344"/>
      <c r="I60" s="345"/>
      <c r="J60" s="1"/>
      <c r="K60" s="1"/>
      <c r="N60" s="433"/>
    </row>
    <row r="61" spans="1:18" ht="15.75" thickBot="1" x14ac:dyDescent="0.3">
      <c r="I61" s="374" t="s">
        <v>12</v>
      </c>
      <c r="K61" s="439">
        <f>K53</f>
        <v>0</v>
      </c>
      <c r="N61" s="433" t="str">
        <f>Tabelle1!J99</f>
        <v>Blockhaus 3,01 - 4,99 cm</v>
      </c>
    </row>
    <row r="62" spans="1:18" x14ac:dyDescent="0.25">
      <c r="A62" s="830" t="s">
        <v>15</v>
      </c>
      <c r="B62" s="830"/>
      <c r="C62" s="830"/>
      <c r="D62" s="830"/>
      <c r="E62" s="378" t="s">
        <v>5</v>
      </c>
      <c r="F62" s="440" t="s">
        <v>363</v>
      </c>
      <c r="H62" s="374"/>
      <c r="J62"/>
      <c r="L62" s="829" t="s">
        <v>441</v>
      </c>
      <c r="M62" s="829"/>
      <c r="N62" s="433" t="str">
        <f>Tabelle1!J100</f>
        <v>Blockhaus ab 5,00 cm</v>
      </c>
    </row>
    <row r="63" spans="1:18" x14ac:dyDescent="0.25">
      <c r="A63" s="375" t="s">
        <v>142</v>
      </c>
      <c r="D63" s="372" t="s">
        <v>14</v>
      </c>
      <c r="E63" s="441">
        <v>0</v>
      </c>
      <c r="F63" s="372" t="s">
        <v>16</v>
      </c>
      <c r="G63" s="442">
        <f>IF(E63&gt;0,E14,0)</f>
        <v>0</v>
      </c>
      <c r="H63" s="374" t="s">
        <v>301</v>
      </c>
      <c r="I63" s="436">
        <f>ROUND(E63-E63*G63%,2)</f>
        <v>0</v>
      </c>
      <c r="L63" s="829"/>
      <c r="M63" s="829"/>
      <c r="N63" s="433" t="str">
        <f>Tabelle1!J101</f>
        <v>Doppelwand bis 4,00 cm</v>
      </c>
    </row>
    <row r="64" spans="1:18" x14ac:dyDescent="0.25">
      <c r="C64" s="443"/>
      <c r="D64" s="372" t="s">
        <v>16</v>
      </c>
      <c r="E64" s="372">
        <f>IF(C64&gt;0,E15,0)</f>
        <v>0</v>
      </c>
      <c r="F64" s="844" t="s">
        <v>297</v>
      </c>
      <c r="G64" s="844"/>
      <c r="H64" s="844"/>
      <c r="I64" s="373">
        <f>ROUND(C64-C64*E64%,2)</f>
        <v>0</v>
      </c>
      <c r="L64" s="829"/>
      <c r="M64" s="829"/>
      <c r="N64" s="433" t="str">
        <f>Tabelle1!J102</f>
        <v xml:space="preserve">Doppelwand 4,01 - 8,00 cm </v>
      </c>
    </row>
    <row r="65" spans="1:15" ht="15" customHeight="1" x14ac:dyDescent="0.25">
      <c r="C65" s="443"/>
      <c r="F65" s="376"/>
      <c r="G65" s="376"/>
      <c r="H65" s="376"/>
      <c r="I65" s="373"/>
      <c r="L65" s="829"/>
      <c r="M65" s="829"/>
      <c r="N65" s="433" t="str">
        <f>Tabelle1!J103</f>
        <v>Doppelwand 8,01 - 10,00 cm</v>
      </c>
    </row>
    <row r="66" spans="1:15" ht="15.75" thickBot="1" x14ac:dyDescent="0.3">
      <c r="A66" s="444" t="s">
        <v>143</v>
      </c>
      <c r="B66" s="287"/>
      <c r="C66" s="288" t="s">
        <v>140</v>
      </c>
      <c r="D66" s="288"/>
      <c r="E66" s="445"/>
      <c r="F66" s="835" t="s">
        <v>184</v>
      </c>
      <c r="G66" s="835"/>
      <c r="H66" s="445">
        <v>0</v>
      </c>
      <c r="I66" s="288" t="s">
        <v>211</v>
      </c>
      <c r="L66" s="829"/>
      <c r="M66" s="829"/>
      <c r="N66" s="446" t="str">
        <f>Tabelle1!J104</f>
        <v>fehlt</v>
      </c>
    </row>
    <row r="67" spans="1:15" x14ac:dyDescent="0.25">
      <c r="A67" s="444" t="s">
        <v>292</v>
      </c>
      <c r="B67" s="831" t="s">
        <v>302</v>
      </c>
      <c r="C67" s="831"/>
      <c r="D67" s="288" t="s">
        <v>14</v>
      </c>
      <c r="E67" s="447">
        <f>IF(B67=N67,O67,IF(B67=N68,O68,IF(B67=N70,O70)))</f>
        <v>0</v>
      </c>
      <c r="F67" s="288" t="s">
        <v>16</v>
      </c>
      <c r="G67" s="448">
        <v>0</v>
      </c>
      <c r="H67" s="293" t="s">
        <v>141</v>
      </c>
      <c r="I67" s="449">
        <f>ROUND(E67-E67*G67,2)</f>
        <v>0</v>
      </c>
      <c r="L67" s="829"/>
      <c r="M67" s="829"/>
      <c r="N67" s="450" t="s">
        <v>291</v>
      </c>
      <c r="O67" s="116">
        <v>175</v>
      </c>
    </row>
    <row r="68" spans="1:15" ht="15.75" thickBot="1" x14ac:dyDescent="0.3">
      <c r="A68" s="288"/>
      <c r="B68" s="288"/>
      <c r="C68" s="288"/>
      <c r="D68" s="451">
        <f>I67</f>
        <v>0</v>
      </c>
      <c r="E68" s="288" t="s">
        <v>16</v>
      </c>
      <c r="F68" s="288"/>
      <c r="G68" s="288">
        <v>100</v>
      </c>
      <c r="H68" s="288" t="s">
        <v>342</v>
      </c>
      <c r="I68" s="449">
        <f>ROUND(D68-D68*G68%,2)</f>
        <v>0</v>
      </c>
      <c r="L68" s="829"/>
      <c r="M68" s="829"/>
      <c r="N68" s="452" t="s">
        <v>293</v>
      </c>
      <c r="O68" s="145">
        <v>80</v>
      </c>
    </row>
    <row r="69" spans="1:15" ht="7.9" customHeight="1" thickBot="1" x14ac:dyDescent="0.3">
      <c r="A69" s="288"/>
      <c r="B69" s="288"/>
      <c r="C69" s="288"/>
      <c r="D69" s="451"/>
      <c r="E69" s="288"/>
      <c r="F69" s="288"/>
      <c r="G69" s="293"/>
      <c r="H69" s="293"/>
      <c r="I69" s="449"/>
      <c r="L69" s="829"/>
      <c r="M69" s="829"/>
    </row>
    <row r="70" spans="1:15" ht="16.5" customHeight="1" thickBot="1" x14ac:dyDescent="0.3">
      <c r="A70" s="288"/>
      <c r="B70" s="288"/>
      <c r="C70" s="449">
        <f>IF(I68=0,I64,I68)</f>
        <v>0</v>
      </c>
      <c r="D70" s="288"/>
      <c r="E70" s="288">
        <f>$H$7/100</f>
        <v>1.7919999999999998</v>
      </c>
      <c r="F70" s="453" t="s">
        <v>13</v>
      </c>
      <c r="G70" s="288"/>
      <c r="H70" s="454" t="s">
        <v>9</v>
      </c>
      <c r="I70" s="449">
        <f>ROUND(C70*E70,2)</f>
        <v>0</v>
      </c>
      <c r="J70" s="455"/>
      <c r="L70" s="829"/>
      <c r="M70" s="829"/>
      <c r="N70" s="456" t="s">
        <v>302</v>
      </c>
    </row>
    <row r="71" spans="1:15" x14ac:dyDescent="0.25">
      <c r="A71" s="288" t="s">
        <v>442</v>
      </c>
      <c r="B71" s="288"/>
      <c r="C71" s="288"/>
      <c r="D71" s="288"/>
      <c r="E71" s="288"/>
      <c r="F71" s="445">
        <v>0</v>
      </c>
      <c r="G71" s="288" t="s">
        <v>17</v>
      </c>
      <c r="H71" s="451">
        <f>I70</f>
        <v>0</v>
      </c>
      <c r="I71" s="457" t="s">
        <v>9</v>
      </c>
      <c r="K71" s="458">
        <f>ROUND(F71*H71,2)</f>
        <v>0</v>
      </c>
      <c r="L71" s="829"/>
      <c r="M71" s="829"/>
    </row>
    <row r="72" spans="1:15" x14ac:dyDescent="0.25">
      <c r="A72" s="832" t="s">
        <v>19</v>
      </c>
      <c r="B72" s="832"/>
      <c r="C72" s="288"/>
      <c r="D72" s="288"/>
      <c r="E72" s="288"/>
      <c r="F72" s="288"/>
      <c r="G72" s="288"/>
      <c r="H72" s="288"/>
      <c r="I72" s="288"/>
      <c r="J72" s="455"/>
      <c r="L72" s="829"/>
      <c r="M72" s="829"/>
    </row>
    <row r="73" spans="1:15" x14ac:dyDescent="0.25">
      <c r="A73" s="430" t="s">
        <v>20</v>
      </c>
      <c r="B73" s="833" t="s">
        <v>443</v>
      </c>
      <c r="C73" s="833"/>
      <c r="D73" s="833"/>
      <c r="E73" s="833"/>
      <c r="F73" s="857"/>
      <c r="G73" s="857"/>
      <c r="H73" s="372" t="s">
        <v>21</v>
      </c>
      <c r="I73" s="647"/>
      <c r="J73" s="455"/>
      <c r="L73" s="829"/>
      <c r="M73" s="829"/>
    </row>
    <row r="74" spans="1:15" x14ac:dyDescent="0.25">
      <c r="B74" s="372" t="s">
        <v>27</v>
      </c>
      <c r="C74" s="398"/>
      <c r="D74" s="372" t="s">
        <v>354</v>
      </c>
      <c r="E74" s="372" t="s">
        <v>23</v>
      </c>
      <c r="F74" s="852">
        <v>470</v>
      </c>
      <c r="G74" s="852"/>
      <c r="H74" s="407" t="s">
        <v>173</v>
      </c>
      <c r="J74" s="455"/>
      <c r="M74" s="459"/>
    </row>
    <row r="75" spans="1:15" ht="15.75" thickBot="1" x14ac:dyDescent="0.3">
      <c r="B75" s="372" t="s">
        <v>24</v>
      </c>
      <c r="C75" s="460">
        <f>C74*3</f>
        <v>0</v>
      </c>
      <c r="D75" s="836" t="s">
        <v>303</v>
      </c>
      <c r="E75" s="836"/>
      <c r="F75" s="845">
        <f>ROUND(F74-F74*C75/100,2)</f>
        <v>470</v>
      </c>
      <c r="G75" s="845"/>
      <c r="H75" s="407" t="s">
        <v>49</v>
      </c>
      <c r="I75" s="461"/>
      <c r="J75" s="372" t="s">
        <v>26</v>
      </c>
      <c r="K75" s="458">
        <f>IF(E76 ="fehlt",0,ROUND(F75*I75,2))</f>
        <v>0</v>
      </c>
      <c r="M75" s="459"/>
    </row>
    <row r="76" spans="1:15" ht="15.75" thickBot="1" x14ac:dyDescent="0.3">
      <c r="A76" s="834" t="s">
        <v>28</v>
      </c>
      <c r="B76" s="834"/>
      <c r="C76" s="834"/>
      <c r="D76" s="506"/>
      <c r="E76" s="462"/>
      <c r="M76" s="459"/>
      <c r="N76" s="456" t="s">
        <v>294</v>
      </c>
    </row>
    <row r="77" spans="1:15" x14ac:dyDescent="0.25">
      <c r="D77" s="834" t="s">
        <v>570</v>
      </c>
      <c r="E77" s="837"/>
      <c r="F77" s="837"/>
      <c r="G77" s="837"/>
      <c r="H77" s="837"/>
      <c r="I77" s="837"/>
      <c r="J77" s="374"/>
      <c r="K77" s="463"/>
    </row>
    <row r="78" spans="1:15" ht="15.75" thickBot="1" x14ac:dyDescent="0.3">
      <c r="A78" s="430" t="s">
        <v>29</v>
      </c>
      <c r="B78" s="830" t="s">
        <v>30</v>
      </c>
      <c r="C78" s="830"/>
      <c r="D78" s="374" t="s">
        <v>31</v>
      </c>
      <c r="E78" s="563"/>
      <c r="F78" s="374" t="s">
        <v>212</v>
      </c>
      <c r="G78" s="398"/>
      <c r="H78" s="372" t="s">
        <v>211</v>
      </c>
      <c r="J78" s="455"/>
      <c r="M78" s="459"/>
    </row>
    <row r="79" spans="1:15" x14ac:dyDescent="0.25">
      <c r="B79" s="374" t="s">
        <v>32</v>
      </c>
      <c r="C79" s="564"/>
      <c r="D79" s="372" t="s">
        <v>180</v>
      </c>
      <c r="E79" s="373">
        <f>IF(G78&gt;0,MIN(2200,C79),0)</f>
        <v>0</v>
      </c>
      <c r="F79" s="372" t="s">
        <v>181</v>
      </c>
      <c r="H79" s="565">
        <f>G78/100*3</f>
        <v>0</v>
      </c>
      <c r="I79" s="372" t="s">
        <v>182</v>
      </c>
      <c r="J79" s="399" t="s">
        <v>9</v>
      </c>
      <c r="K79" s="458">
        <f>IF(C79&gt;74,ROUND(E79-E79*H79,2),0)</f>
        <v>0</v>
      </c>
      <c r="N79" s="464" t="s">
        <v>339</v>
      </c>
    </row>
    <row r="80" spans="1:15" ht="15.75" thickBot="1" x14ac:dyDescent="0.3">
      <c r="A80"/>
      <c r="B80"/>
      <c r="C80"/>
      <c r="D80"/>
      <c r="E80"/>
      <c r="F80"/>
      <c r="G80"/>
      <c r="H80"/>
      <c r="I80"/>
      <c r="J80"/>
      <c r="K80" s="459"/>
      <c r="N80" s="465">
        <f>SUM(K61:K77)</f>
        <v>0</v>
      </c>
    </row>
    <row r="81" spans="1:11" ht="16.5" thickTop="1" thickBot="1" x14ac:dyDescent="0.3">
      <c r="A81" s="846" t="s">
        <v>33</v>
      </c>
      <c r="B81" s="846"/>
      <c r="C81" s="846"/>
      <c r="D81" s="846"/>
      <c r="E81" s="846"/>
      <c r="F81" s="846"/>
      <c r="G81" s="846"/>
      <c r="H81" s="846"/>
      <c r="I81" s="846"/>
      <c r="J81" s="847"/>
      <c r="K81" s="466">
        <f>K52+K61+K71+K75+K77+K79</f>
        <v>0</v>
      </c>
    </row>
    <row r="82" spans="1:11" ht="16.5" thickTop="1" thickBot="1" x14ac:dyDescent="0.3">
      <c r="A82" s="430" t="s">
        <v>93</v>
      </c>
      <c r="B82" s="838" t="s">
        <v>573</v>
      </c>
      <c r="C82" s="839"/>
    </row>
    <row r="83" spans="1:11" x14ac:dyDescent="0.25">
      <c r="B83" s="450"/>
      <c r="C83" s="467"/>
      <c r="D83" s="467"/>
      <c r="E83" s="467"/>
      <c r="F83" s="467"/>
      <c r="G83" s="467"/>
      <c r="H83" s="467"/>
      <c r="I83" s="467"/>
      <c r="J83" s="595"/>
      <c r="K83" s="596"/>
    </row>
    <row r="84" spans="1:11" x14ac:dyDescent="0.25">
      <c r="B84" s="597"/>
      <c r="J84" s="384"/>
      <c r="K84" s="598"/>
    </row>
    <row r="85" spans="1:11" x14ac:dyDescent="0.25">
      <c r="B85" s="597"/>
      <c r="J85" s="384"/>
      <c r="K85" s="598"/>
    </row>
    <row r="86" spans="1:11" x14ac:dyDescent="0.25">
      <c r="B86" s="597"/>
      <c r="J86" s="384"/>
      <c r="K86" s="598"/>
    </row>
    <row r="87" spans="1:11" x14ac:dyDescent="0.25">
      <c r="B87" s="597"/>
      <c r="J87" s="384"/>
      <c r="K87" s="598"/>
    </row>
    <row r="88" spans="1:11" x14ac:dyDescent="0.25">
      <c r="B88" s="597"/>
      <c r="J88" s="384"/>
      <c r="K88" s="598"/>
    </row>
    <row r="89" spans="1:11" x14ac:dyDescent="0.25">
      <c r="B89" s="597"/>
      <c r="J89" s="384"/>
      <c r="K89" s="598"/>
    </row>
    <row r="90" spans="1:11" x14ac:dyDescent="0.25">
      <c r="B90" s="597"/>
      <c r="J90" s="384"/>
      <c r="K90" s="598"/>
    </row>
    <row r="91" spans="1:11" x14ac:dyDescent="0.25">
      <c r="B91" s="597"/>
      <c r="J91" s="384"/>
      <c r="K91" s="598"/>
    </row>
    <row r="92" spans="1:11" x14ac:dyDescent="0.25">
      <c r="B92" s="597"/>
      <c r="J92" s="384"/>
      <c r="K92" s="598"/>
    </row>
    <row r="93" spans="1:11" x14ac:dyDescent="0.25">
      <c r="B93" s="597"/>
      <c r="J93" s="384"/>
      <c r="K93" s="598"/>
    </row>
    <row r="94" spans="1:11" x14ac:dyDescent="0.25">
      <c r="B94" s="597"/>
      <c r="J94" s="384"/>
      <c r="K94" s="598"/>
    </row>
    <row r="95" spans="1:11" x14ac:dyDescent="0.25">
      <c r="B95" s="597"/>
      <c r="J95" s="384"/>
      <c r="K95" s="598"/>
    </row>
    <row r="96" spans="1:11" x14ac:dyDescent="0.25">
      <c r="B96" s="597"/>
      <c r="J96" s="384"/>
      <c r="K96" s="598"/>
    </row>
    <row r="97" spans="1:15" x14ac:dyDescent="0.25">
      <c r="B97" s="597"/>
      <c r="J97" s="384"/>
      <c r="K97" s="598"/>
    </row>
    <row r="98" spans="1:15" x14ac:dyDescent="0.25">
      <c r="B98" s="597"/>
      <c r="J98" s="384"/>
      <c r="K98" s="598"/>
    </row>
    <row r="99" spans="1:15" ht="15.75" thickBot="1" x14ac:dyDescent="0.3">
      <c r="B99" s="452"/>
      <c r="C99" s="468"/>
      <c r="D99" s="468"/>
      <c r="E99" s="468"/>
      <c r="F99" s="468"/>
      <c r="G99" s="468"/>
      <c r="H99" s="468"/>
      <c r="I99" s="468"/>
      <c r="J99" s="599"/>
      <c r="K99" s="600"/>
    </row>
    <row r="100" spans="1:15" ht="15.75" thickBot="1" x14ac:dyDescent="0.3">
      <c r="A100" s="601"/>
      <c r="B100" s="376"/>
      <c r="C100" s="376"/>
      <c r="D100" s="376"/>
      <c r="E100" s="376"/>
      <c r="F100" s="376"/>
      <c r="G100" s="376"/>
      <c r="H100" s="376"/>
      <c r="I100" s="376"/>
      <c r="J100" s="376"/>
    </row>
    <row r="101" spans="1:15" ht="15.75" thickBot="1" x14ac:dyDescent="0.3">
      <c r="A101" s="592" t="s">
        <v>98</v>
      </c>
      <c r="B101" s="833" t="s">
        <v>574</v>
      </c>
      <c r="C101" s="806"/>
      <c r="D101" s="806"/>
      <c r="F101" s="853">
        <f>A17+A26+A35+A52</f>
        <v>0</v>
      </c>
      <c r="G101" s="806"/>
      <c r="H101" s="609" t="s">
        <v>79</v>
      </c>
      <c r="I101" s="376"/>
      <c r="J101" s="376"/>
    </row>
    <row r="102" spans="1:15" ht="19.899999999999999" customHeight="1" thickBot="1" x14ac:dyDescent="0.3">
      <c r="A102" s="603" t="str">
        <f>IF(E76=("fehlt"),("Genehmigte Abwassersammelgrube ohne Bewertung, da ein zeitnahes Dichtigkeitsgutachten fehlt, siehe auch Anlage IV, Blatt 3."),("."))</f>
        <v>.</v>
      </c>
      <c r="B102" s="603"/>
      <c r="C102" s="603"/>
      <c r="D102" s="603"/>
      <c r="E102" s="603"/>
      <c r="F102" s="603"/>
      <c r="G102" s="603"/>
      <c r="H102" s="603"/>
      <c r="I102" s="603"/>
      <c r="J102" s="603"/>
    </row>
    <row r="103" spans="1:15" x14ac:dyDescent="0.25">
      <c r="A103" s="604" t="s">
        <v>101</v>
      </c>
      <c r="B103" s="840" t="s">
        <v>575</v>
      </c>
      <c r="C103" s="803"/>
      <c r="D103" s="803"/>
      <c r="E103" s="803"/>
      <c r="F103" s="606" t="s">
        <v>352</v>
      </c>
      <c r="G103" s="607" t="s">
        <v>576</v>
      </c>
      <c r="H103" s="608" t="s">
        <v>448</v>
      </c>
      <c r="I103" s="603"/>
      <c r="J103" s="603"/>
    </row>
    <row r="104" spans="1:15" ht="16.149999999999999" customHeight="1" thickBot="1" x14ac:dyDescent="0.3">
      <c r="A104" s="375"/>
      <c r="F104" s="610">
        <v>5</v>
      </c>
      <c r="G104" s="613">
        <v>50</v>
      </c>
      <c r="H104" s="612">
        <f>SUM(F104*G104)</f>
        <v>250</v>
      </c>
      <c r="J104" s="594"/>
      <c r="M104" s="820" t="s">
        <v>304</v>
      </c>
      <c r="N104" s="821"/>
      <c r="O104" s="822"/>
    </row>
    <row r="105" spans="1:15" ht="19.899999999999999" customHeight="1" thickBot="1" x14ac:dyDescent="0.3">
      <c r="A105" s="375" t="s">
        <v>609</v>
      </c>
      <c r="B105" s="790" t="s">
        <v>634</v>
      </c>
      <c r="C105" s="790"/>
      <c r="D105" s="790"/>
      <c r="E105" s="790"/>
      <c r="F105" s="704"/>
      <c r="G105" s="705"/>
      <c r="H105" s="706">
        <v>150</v>
      </c>
      <c r="I105" s="602"/>
      <c r="J105" s="605"/>
      <c r="M105" s="823"/>
      <c r="N105" s="824"/>
      <c r="O105" s="825"/>
    </row>
    <row r="106" spans="1:15" x14ac:dyDescent="0.25">
      <c r="A106" s="379"/>
      <c r="B106" s="379"/>
      <c r="C106" s="379"/>
      <c r="D106" s="379"/>
      <c r="E106" s="379"/>
      <c r="F106" s="379"/>
      <c r="G106" s="379"/>
      <c r="M106" s="826"/>
      <c r="N106" s="827"/>
      <c r="O106" s="828"/>
    </row>
    <row r="108" spans="1:15" x14ac:dyDescent="0.25">
      <c r="A108" s="834" t="s">
        <v>34</v>
      </c>
      <c r="B108" s="834"/>
      <c r="C108" s="841">
        <f>Formalien!$E$15</f>
        <v>0</v>
      </c>
      <c r="D108" s="841"/>
      <c r="E108" s="372" t="s">
        <v>121</v>
      </c>
      <c r="F108" s="851">
        <f>Formalien!$E$12</f>
        <v>0</v>
      </c>
      <c r="G108" s="851"/>
      <c r="H108" s="851"/>
    </row>
    <row r="109" spans="1:15" x14ac:dyDescent="0.25">
      <c r="K109" s="372" t="s">
        <v>562</v>
      </c>
    </row>
  </sheetData>
  <sheetProtection selectLockedCells="1"/>
  <mergeCells count="81">
    <mergeCell ref="I2:K2"/>
    <mergeCell ref="E4:I4"/>
    <mergeCell ref="A4:D4"/>
    <mergeCell ref="A3:D3"/>
    <mergeCell ref="I3:K3"/>
    <mergeCell ref="A2:C2"/>
    <mergeCell ref="D2:G2"/>
    <mergeCell ref="I7:J7"/>
    <mergeCell ref="A8:B8"/>
    <mergeCell ref="D8:H8"/>
    <mergeCell ref="D9:H9"/>
    <mergeCell ref="D22:F22"/>
    <mergeCell ref="A9:B10"/>
    <mergeCell ref="A11:J11"/>
    <mergeCell ref="G21:J21"/>
    <mergeCell ref="F16:G16"/>
    <mergeCell ref="F17:H17"/>
    <mergeCell ref="C19:H19"/>
    <mergeCell ref="A7:G7"/>
    <mergeCell ref="G12:J12"/>
    <mergeCell ref="M12:P12"/>
    <mergeCell ref="F14:G14"/>
    <mergeCell ref="F73:G73"/>
    <mergeCell ref="F64:H64"/>
    <mergeCell ref="P14:R14"/>
    <mergeCell ref="D56:G56"/>
    <mergeCell ref="F43:G43"/>
    <mergeCell ref="E40:F40"/>
    <mergeCell ref="D31:F31"/>
    <mergeCell ref="F26:H26"/>
    <mergeCell ref="F24:G24"/>
    <mergeCell ref="F25:G25"/>
    <mergeCell ref="F23:G23"/>
    <mergeCell ref="D58:G58"/>
    <mergeCell ref="N20:O20"/>
    <mergeCell ref="N16:O16"/>
    <mergeCell ref="F101:G101"/>
    <mergeCell ref="A40:C40"/>
    <mergeCell ref="A39:I39"/>
    <mergeCell ref="D13:F13"/>
    <mergeCell ref="F15:G15"/>
    <mergeCell ref="A57:C57"/>
    <mergeCell ref="C37:H37"/>
    <mergeCell ref="C28:H28"/>
    <mergeCell ref="B38:E38"/>
    <mergeCell ref="F38:G38"/>
    <mergeCell ref="I57:K57"/>
    <mergeCell ref="F32:G32"/>
    <mergeCell ref="G30:J30"/>
    <mergeCell ref="C108:D108"/>
    <mergeCell ref="F33:G33"/>
    <mergeCell ref="F35:H35"/>
    <mergeCell ref="F34:G34"/>
    <mergeCell ref="D48:F48"/>
    <mergeCell ref="F49:G49"/>
    <mergeCell ref="F75:G75"/>
    <mergeCell ref="A81:J81"/>
    <mergeCell ref="F50:G50"/>
    <mergeCell ref="G47:I47"/>
    <mergeCell ref="A56:C56"/>
    <mergeCell ref="F108:H108"/>
    <mergeCell ref="A58:C58"/>
    <mergeCell ref="A108:B108"/>
    <mergeCell ref="F74:G74"/>
    <mergeCell ref="A62:D62"/>
    <mergeCell ref="B105:E105"/>
    <mergeCell ref="N23:O23"/>
    <mergeCell ref="N30:O30"/>
    <mergeCell ref="M104:O106"/>
    <mergeCell ref="L62:M73"/>
    <mergeCell ref="B78:C78"/>
    <mergeCell ref="B67:C67"/>
    <mergeCell ref="A72:B72"/>
    <mergeCell ref="B73:E73"/>
    <mergeCell ref="A76:C76"/>
    <mergeCell ref="F66:G66"/>
    <mergeCell ref="D75:E75"/>
    <mergeCell ref="D77:I77"/>
    <mergeCell ref="B82:C82"/>
    <mergeCell ref="B101:D101"/>
    <mergeCell ref="B103:E103"/>
  </mergeCells>
  <dataValidations count="8">
    <dataValidation type="list" allowBlank="1" showInputMessage="1" showErrorMessage="1" sqref="E63" xr:uid="{00000000-0002-0000-0200-000000000000}">
      <formula1>"0,275,225,175"</formula1>
    </dataValidation>
    <dataValidation type="date" operator="greaterThan" allowBlank="1" showInputMessage="1" showErrorMessage="1" sqref="D76" xr:uid="{00000000-0002-0000-0200-000001000000}">
      <formula1>7306</formula1>
    </dataValidation>
    <dataValidation type="list" allowBlank="1" showInputMessage="1" showErrorMessage="1" sqref="K77" xr:uid="{00000000-0002-0000-0200-000005000000}">
      <formula1>"-100"</formula1>
    </dataValidation>
    <dataValidation type="list" allowBlank="1" showInputMessage="1" showErrorMessage="1" sqref="B67:C67" xr:uid="{CD6F1DA5-66C1-414B-A4AD-AFF1CE56AB3D}">
      <formula1>$N$67:$N$70</formula1>
    </dataValidation>
    <dataValidation type="list" allowBlank="1" showInputMessage="1" showErrorMessage="1" sqref="E76" xr:uid="{EFCEFA33-5286-4393-933F-C5A817ED60BD}">
      <formula1>$N$76</formula1>
    </dataValidation>
    <dataValidation type="list" allowBlank="1" showInputMessage="1" showErrorMessage="1" sqref="J47 G47 G21 G30" xr:uid="{E30120E9-52A9-415F-867A-A9BB05A5355B}">
      <formula1>$N$45:$N$66</formula1>
    </dataValidation>
    <dataValidation type="list" allowBlank="1" showInputMessage="1" showErrorMessage="1" sqref="E66 G40" xr:uid="{00000000-0002-0000-0200-000007000000}">
      <formula1>$R$46:$R$50</formula1>
    </dataValidation>
    <dataValidation type="list" allowBlank="1" showInputMessage="1" showErrorMessage="1" sqref="G12:J12" xr:uid="{EAD9C232-FB7A-4A60-AE89-D5B76D96A283}">
      <formula1>typen</formula1>
    </dataValidation>
  </dataValidations>
  <pageMargins left="0.78740157480314965" right="0.19685039370078741" top="0.78740157480314965" bottom="0.78740157480314965" header="0.31496062992125984" footer="0.31496062992125984"/>
  <pageSetup paperSize="9" scale="86" orientation="portrait" r:id="rId1"/>
  <rowBreaks count="1" manualBreakCount="1">
    <brk id="54" max="10"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02BF-954F-4A69-8507-A2ACD45501AE}">
  <sheetPr>
    <tabColor theme="6" tint="-0.249977111117893"/>
  </sheetPr>
  <dimension ref="A1:H121"/>
  <sheetViews>
    <sheetView showGridLines="0" showZeros="0" zoomScaleNormal="100" workbookViewId="0">
      <selection activeCell="H45" sqref="H44:H45"/>
    </sheetView>
  </sheetViews>
  <sheetFormatPr baseColWidth="10" defaultColWidth="10.7109375" defaultRowHeight="15" x14ac:dyDescent="0.25"/>
  <cols>
    <col min="1" max="1" width="12.7109375" style="76" customWidth="1"/>
    <col min="2" max="2" width="3" customWidth="1"/>
    <col min="3" max="3" width="31.85546875" customWidth="1"/>
    <col min="4" max="4" width="30.7109375" customWidth="1"/>
    <col min="5" max="6" width="8.28515625" customWidth="1"/>
  </cols>
  <sheetData>
    <row r="1" spans="1:8" x14ac:dyDescent="0.25">
      <c r="A1" s="915" t="str">
        <f>"Kleingartenanlage: "&amp;Formalien!$E$3</f>
        <v xml:space="preserve">Kleingartenanlage: </v>
      </c>
      <c r="B1" s="916"/>
      <c r="C1" s="916"/>
      <c r="D1" s="554" t="s">
        <v>519</v>
      </c>
      <c r="E1" s="913">
        <f>Formalien!$E$4</f>
        <v>0</v>
      </c>
      <c r="F1" s="914"/>
    </row>
    <row r="2" spans="1:8" ht="15.75" thickBot="1" x14ac:dyDescent="0.3">
      <c r="A2" s="555" t="s">
        <v>176</v>
      </c>
      <c r="B2" s="80"/>
      <c r="C2" s="80"/>
      <c r="D2" s="80"/>
      <c r="E2" s="917">
        <f>Formalien!$E$5</f>
        <v>0</v>
      </c>
      <c r="F2" s="918"/>
      <c r="H2" s="157"/>
    </row>
    <row r="3" spans="1:8" ht="15.75" thickBot="1" x14ac:dyDescent="0.3">
      <c r="A3" s="552" t="s">
        <v>225</v>
      </c>
      <c r="B3" s="82"/>
      <c r="C3" s="82"/>
      <c r="D3" s="553"/>
      <c r="E3" s="911" t="s">
        <v>228</v>
      </c>
      <c r="F3" s="880" t="s">
        <v>229</v>
      </c>
    </row>
    <row r="4" spans="1:8" ht="15.75" thickBot="1" x14ac:dyDescent="0.3">
      <c r="A4" s="77" t="s">
        <v>226</v>
      </c>
      <c r="B4" s="899" t="s">
        <v>227</v>
      </c>
      <c r="C4" s="900"/>
      <c r="D4" s="901"/>
      <c r="E4" s="912"/>
      <c r="F4" s="881"/>
    </row>
    <row r="5" spans="1:8" x14ac:dyDescent="0.25">
      <c r="A5" s="896" t="s">
        <v>230</v>
      </c>
      <c r="B5" s="81"/>
      <c r="C5" s="509" t="s">
        <v>222</v>
      </c>
      <c r="D5" s="509"/>
      <c r="E5" s="884">
        <v>0.2</v>
      </c>
      <c r="F5" s="892"/>
    </row>
    <row r="6" spans="1:8" x14ac:dyDescent="0.25">
      <c r="A6" s="897"/>
      <c r="C6" s="510" t="s">
        <v>223</v>
      </c>
      <c r="D6" s="511" t="s">
        <v>224</v>
      </c>
      <c r="E6" s="885"/>
      <c r="F6" s="893"/>
    </row>
    <row r="7" spans="1:8" x14ac:dyDescent="0.25">
      <c r="A7" s="897"/>
      <c r="C7" s="510" t="s">
        <v>527</v>
      </c>
      <c r="D7" s="511" t="s">
        <v>232</v>
      </c>
      <c r="E7" s="885"/>
      <c r="F7" s="893"/>
    </row>
    <row r="8" spans="1:8" x14ac:dyDescent="0.25">
      <c r="A8" s="897"/>
      <c r="C8" s="510" t="s">
        <v>231</v>
      </c>
      <c r="D8" s="511" t="s">
        <v>234</v>
      </c>
      <c r="E8" s="885"/>
      <c r="F8" s="893"/>
    </row>
    <row r="9" spans="1:8" x14ac:dyDescent="0.25">
      <c r="A9" s="897"/>
      <c r="C9" s="510" t="s">
        <v>233</v>
      </c>
      <c r="D9" s="511" t="s">
        <v>236</v>
      </c>
      <c r="E9" s="885"/>
      <c r="F9" s="893"/>
    </row>
    <row r="10" spans="1:8" x14ac:dyDescent="0.25">
      <c r="A10" s="897"/>
      <c r="C10" s="510" t="s">
        <v>235</v>
      </c>
      <c r="D10" s="511" t="s">
        <v>238</v>
      </c>
      <c r="E10" s="885"/>
      <c r="F10" s="893"/>
    </row>
    <row r="11" spans="1:8" x14ac:dyDescent="0.25">
      <c r="A11" s="897"/>
      <c r="C11" s="510" t="s">
        <v>237</v>
      </c>
      <c r="D11" s="571" t="s">
        <v>239</v>
      </c>
      <c r="E11" s="885"/>
      <c r="F11" s="893"/>
    </row>
    <row r="12" spans="1:8" ht="15.75" thickBot="1" x14ac:dyDescent="0.3">
      <c r="A12" s="898"/>
      <c r="B12" s="80"/>
      <c r="C12" s="512" t="s">
        <v>238</v>
      </c>
      <c r="D12" s="572"/>
      <c r="E12" s="886"/>
      <c r="F12" s="894"/>
    </row>
    <row r="13" spans="1:8" x14ac:dyDescent="0.25">
      <c r="A13" s="896" t="s">
        <v>240</v>
      </c>
      <c r="B13" s="81"/>
      <c r="C13" s="509" t="s">
        <v>241</v>
      </c>
      <c r="D13" s="513" t="s">
        <v>125</v>
      </c>
      <c r="E13" s="887">
        <v>0.1</v>
      </c>
      <c r="F13" s="875"/>
    </row>
    <row r="14" spans="1:8" x14ac:dyDescent="0.25">
      <c r="A14" s="897"/>
      <c r="C14" s="510" t="s">
        <v>242</v>
      </c>
      <c r="D14" s="511" t="s">
        <v>243</v>
      </c>
      <c r="E14" s="888"/>
      <c r="F14" s="895"/>
    </row>
    <row r="15" spans="1:8" ht="15.75" thickBot="1" x14ac:dyDescent="0.3">
      <c r="A15" s="898"/>
      <c r="B15" s="80"/>
      <c r="C15" s="512" t="s">
        <v>244</v>
      </c>
      <c r="D15" s="514"/>
      <c r="E15" s="889"/>
      <c r="F15" s="876"/>
    </row>
    <row r="16" spans="1:8" x14ac:dyDescent="0.25">
      <c r="A16" s="896" t="s">
        <v>245</v>
      </c>
      <c r="B16" s="81"/>
      <c r="C16" s="509" t="s">
        <v>126</v>
      </c>
      <c r="D16" s="513" t="s">
        <v>127</v>
      </c>
      <c r="E16" s="887">
        <v>0.13</v>
      </c>
      <c r="F16" s="875"/>
    </row>
    <row r="17" spans="1:6" x14ac:dyDescent="0.25">
      <c r="A17" s="897"/>
      <c r="C17" s="510" t="s">
        <v>246</v>
      </c>
      <c r="D17" s="511" t="s">
        <v>247</v>
      </c>
      <c r="E17" s="888"/>
      <c r="F17" s="895"/>
    </row>
    <row r="18" spans="1:6" x14ac:dyDescent="0.25">
      <c r="A18" s="897"/>
      <c r="C18" s="510" t="s">
        <v>125</v>
      </c>
      <c r="D18" s="511" t="s">
        <v>248</v>
      </c>
      <c r="E18" s="888"/>
      <c r="F18" s="895"/>
    </row>
    <row r="19" spans="1:6" x14ac:dyDescent="0.25">
      <c r="A19" s="897"/>
      <c r="C19" s="510" t="s">
        <v>249</v>
      </c>
      <c r="D19" s="511" t="s">
        <v>250</v>
      </c>
      <c r="E19" s="888"/>
      <c r="F19" s="895"/>
    </row>
    <row r="20" spans="1:6" ht="15.75" thickBot="1" x14ac:dyDescent="0.3">
      <c r="A20" s="898"/>
      <c r="B20" s="80"/>
      <c r="C20" s="512" t="s">
        <v>251</v>
      </c>
      <c r="D20" s="515"/>
      <c r="E20" s="889"/>
      <c r="F20" s="876"/>
    </row>
    <row r="21" spans="1:6" x14ac:dyDescent="0.25">
      <c r="A21" s="919" t="s">
        <v>252</v>
      </c>
      <c r="C21" s="516" t="s">
        <v>253</v>
      </c>
      <c r="D21" s="517" t="s">
        <v>246</v>
      </c>
      <c r="E21" s="873">
        <v>0.1</v>
      </c>
      <c r="F21" s="875"/>
    </row>
    <row r="22" spans="1:6" x14ac:dyDescent="0.25">
      <c r="A22" s="919"/>
      <c r="C22" s="510" t="s">
        <v>254</v>
      </c>
      <c r="D22" s="511" t="s">
        <v>255</v>
      </c>
      <c r="E22" s="890"/>
      <c r="F22" s="895"/>
    </row>
    <row r="23" spans="1:6" ht="15.75" thickBot="1" x14ac:dyDescent="0.3">
      <c r="A23" s="919"/>
      <c r="C23" s="518" t="s">
        <v>125</v>
      </c>
      <c r="D23" s="519"/>
      <c r="E23" s="891"/>
      <c r="F23" s="876"/>
    </row>
    <row r="24" spans="1:6" x14ac:dyDescent="0.25">
      <c r="A24" s="896" t="s">
        <v>129</v>
      </c>
      <c r="B24" s="81"/>
      <c r="C24" s="509" t="s">
        <v>256</v>
      </c>
      <c r="D24" s="513" t="s">
        <v>128</v>
      </c>
      <c r="E24" s="873">
        <v>0.2</v>
      </c>
      <c r="F24" s="875"/>
    </row>
    <row r="25" spans="1:6" x14ac:dyDescent="0.25">
      <c r="A25" s="897"/>
      <c r="C25" s="510" t="s">
        <v>258</v>
      </c>
      <c r="D25" s="511" t="s">
        <v>257</v>
      </c>
      <c r="E25" s="902"/>
      <c r="F25" s="895"/>
    </row>
    <row r="26" spans="1:6" x14ac:dyDescent="0.25">
      <c r="A26" s="897"/>
      <c r="C26" s="510" t="s">
        <v>259</v>
      </c>
      <c r="D26" s="511" t="s">
        <v>260</v>
      </c>
      <c r="E26" s="902"/>
      <c r="F26" s="895"/>
    </row>
    <row r="27" spans="1:6" ht="15.75" thickBot="1" x14ac:dyDescent="0.3">
      <c r="A27" s="898"/>
      <c r="B27" s="80"/>
      <c r="C27" s="512" t="s">
        <v>261</v>
      </c>
      <c r="D27" s="520"/>
      <c r="E27" s="874"/>
      <c r="F27" s="876"/>
    </row>
    <row r="28" spans="1:6" x14ac:dyDescent="0.25">
      <c r="A28" s="88" t="s">
        <v>262</v>
      </c>
      <c r="B28" s="89"/>
      <c r="C28" s="521" t="s">
        <v>263</v>
      </c>
      <c r="D28" s="532" t="s">
        <v>264</v>
      </c>
      <c r="E28" s="903">
        <v>0.05</v>
      </c>
      <c r="F28" s="905"/>
    </row>
    <row r="29" spans="1:6" ht="14.45" customHeight="1" thickBot="1" x14ac:dyDescent="0.3">
      <c r="A29" s="90"/>
      <c r="B29" s="91"/>
      <c r="C29" s="522" t="s">
        <v>265</v>
      </c>
      <c r="D29" s="534" t="s">
        <v>284</v>
      </c>
      <c r="E29" s="904"/>
      <c r="F29" s="906"/>
    </row>
    <row r="30" spans="1:6" x14ac:dyDescent="0.25">
      <c r="A30" s="93" t="s">
        <v>266</v>
      </c>
      <c r="B30" s="86"/>
      <c r="C30" s="523" t="s">
        <v>285</v>
      </c>
      <c r="D30" s="524"/>
      <c r="E30" s="907">
        <v>7.0000000000000007E-2</v>
      </c>
      <c r="F30" s="910"/>
    </row>
    <row r="31" spans="1:6" x14ac:dyDescent="0.25">
      <c r="A31" s="85"/>
      <c r="B31" s="86"/>
      <c r="C31" s="525" t="s">
        <v>267</v>
      </c>
      <c r="D31" s="526" t="s">
        <v>268</v>
      </c>
      <c r="E31" s="908"/>
      <c r="F31" s="905"/>
    </row>
    <row r="32" spans="1:6" x14ac:dyDescent="0.25">
      <c r="A32" s="93"/>
      <c r="B32" s="86"/>
      <c r="C32" s="525" t="s">
        <v>286</v>
      </c>
      <c r="D32" s="527"/>
      <c r="E32" s="908"/>
      <c r="F32" s="905"/>
    </row>
    <row r="33" spans="1:7" ht="15.75" thickBot="1" x14ac:dyDescent="0.3">
      <c r="A33" s="83"/>
      <c r="B33" s="84"/>
      <c r="C33" s="522" t="s">
        <v>287</v>
      </c>
      <c r="D33" s="528"/>
      <c r="E33" s="909"/>
      <c r="F33" s="906"/>
    </row>
    <row r="34" spans="1:7" x14ac:dyDescent="0.25">
      <c r="A34" s="896" t="s">
        <v>130</v>
      </c>
      <c r="B34" s="81"/>
      <c r="C34" s="521" t="s">
        <v>270</v>
      </c>
      <c r="D34" s="532" t="s">
        <v>269</v>
      </c>
      <c r="E34" s="873">
        <v>0.05</v>
      </c>
      <c r="F34" s="875"/>
    </row>
    <row r="35" spans="1:7" x14ac:dyDescent="0.25">
      <c r="A35" s="897"/>
      <c r="C35" s="525" t="s">
        <v>271</v>
      </c>
      <c r="D35" s="526" t="s">
        <v>272</v>
      </c>
      <c r="E35" s="902"/>
      <c r="F35" s="895"/>
    </row>
    <row r="36" spans="1:7" x14ac:dyDescent="0.25">
      <c r="A36" s="897"/>
      <c r="C36" s="525" t="s">
        <v>273</v>
      </c>
      <c r="D36" s="526" t="s">
        <v>274</v>
      </c>
      <c r="E36" s="902"/>
      <c r="F36" s="895"/>
    </row>
    <row r="37" spans="1:7" x14ac:dyDescent="0.25">
      <c r="A37" s="897"/>
      <c r="C37" s="525" t="s">
        <v>275</v>
      </c>
      <c r="D37" s="526" t="s">
        <v>276</v>
      </c>
      <c r="E37" s="902"/>
      <c r="F37" s="895"/>
    </row>
    <row r="38" spans="1:7" x14ac:dyDescent="0.25">
      <c r="A38" s="897"/>
      <c r="C38" s="525" t="s">
        <v>277</v>
      </c>
      <c r="D38" s="526" t="s">
        <v>278</v>
      </c>
      <c r="E38" s="902"/>
      <c r="F38" s="895"/>
    </row>
    <row r="39" spans="1:7" ht="15.75" thickBot="1" x14ac:dyDescent="0.3">
      <c r="A39" s="898"/>
      <c r="B39" s="80"/>
      <c r="C39" s="522" t="s">
        <v>131</v>
      </c>
      <c r="D39" s="533"/>
      <c r="E39" s="874"/>
      <c r="F39" s="876"/>
      <c r="G39" s="92"/>
    </row>
    <row r="40" spans="1:7" x14ac:dyDescent="0.25">
      <c r="A40" s="896" t="s">
        <v>279</v>
      </c>
      <c r="B40" s="81"/>
      <c r="C40" s="521" t="s">
        <v>280</v>
      </c>
      <c r="D40" s="532" t="s">
        <v>281</v>
      </c>
      <c r="E40" s="873">
        <v>0.1</v>
      </c>
      <c r="F40" s="875"/>
    </row>
    <row r="41" spans="1:7" ht="15.75" thickBot="1" x14ac:dyDescent="0.3">
      <c r="A41" s="898"/>
      <c r="B41" s="80"/>
      <c r="C41" s="522" t="s">
        <v>282</v>
      </c>
      <c r="D41" s="534" t="s">
        <v>283</v>
      </c>
      <c r="E41" s="874"/>
      <c r="F41" s="876"/>
    </row>
    <row r="42" spans="1:7" ht="14.45" customHeight="1" thickBot="1" x14ac:dyDescent="0.3">
      <c r="A42" s="550" t="s">
        <v>542</v>
      </c>
      <c r="B42" s="82"/>
      <c r="C42" s="535" t="s">
        <v>132</v>
      </c>
      <c r="D42" s="536" t="s">
        <v>133</v>
      </c>
      <c r="E42" s="529">
        <v>0.1</v>
      </c>
      <c r="F42" s="530"/>
    </row>
    <row r="43" spans="1:7" ht="14.45" customHeight="1" thickBot="1" x14ac:dyDescent="0.3">
      <c r="A43" s="882" t="s">
        <v>134</v>
      </c>
      <c r="B43" s="883"/>
      <c r="C43" s="87"/>
      <c r="D43" s="82"/>
      <c r="E43" s="531">
        <v>0.1</v>
      </c>
      <c r="F43" s="530"/>
    </row>
    <row r="44" spans="1:7" ht="39.75" customHeight="1" thickBot="1" x14ac:dyDescent="0.3">
      <c r="A44" s="877" t="s">
        <v>627</v>
      </c>
      <c r="B44" s="878"/>
      <c r="C44" s="878"/>
      <c r="D44" s="878"/>
      <c r="E44" s="557" t="s">
        <v>289</v>
      </c>
      <c r="F44" s="558">
        <v>0.05</v>
      </c>
    </row>
    <row r="45" spans="1:7" ht="15.75" thickBot="1" x14ac:dyDescent="0.3">
      <c r="A45" s="879" t="s">
        <v>353</v>
      </c>
      <c r="B45" s="879"/>
      <c r="C45" s="879"/>
      <c r="D45" s="879"/>
      <c r="F45" s="556"/>
    </row>
    <row r="46" spans="1:7" ht="15.75" thickBot="1" x14ac:dyDescent="0.3">
      <c r="A46" s="168"/>
      <c r="B46" s="168"/>
      <c r="C46" s="168"/>
      <c r="E46" s="79" t="s">
        <v>288</v>
      </c>
      <c r="F46" s="588">
        <f>SUM(F2:F45)</f>
        <v>0.05</v>
      </c>
    </row>
    <row r="47" spans="1:7" x14ac:dyDescent="0.25">
      <c r="A47" s="168"/>
      <c r="B47" s="168"/>
      <c r="C47" s="168"/>
      <c r="E47" s="79"/>
      <c r="F47" s="587"/>
    </row>
    <row r="48" spans="1:7" x14ac:dyDescent="0.25">
      <c r="A48"/>
      <c r="E48" s="79"/>
      <c r="F48" s="589" t="s">
        <v>563</v>
      </c>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sheetData>
  <sheetProtection selectLockedCells="1"/>
  <mergeCells count="34">
    <mergeCell ref="E1:F1"/>
    <mergeCell ref="A1:C1"/>
    <mergeCell ref="E2:F2"/>
    <mergeCell ref="A21:A23"/>
    <mergeCell ref="A24:A27"/>
    <mergeCell ref="A5:A12"/>
    <mergeCell ref="A34:A39"/>
    <mergeCell ref="B4:D4"/>
    <mergeCell ref="F16:F20"/>
    <mergeCell ref="F21:F23"/>
    <mergeCell ref="E34:E39"/>
    <mergeCell ref="E24:E27"/>
    <mergeCell ref="F24:F27"/>
    <mergeCell ref="E28:E29"/>
    <mergeCell ref="F28:F29"/>
    <mergeCell ref="E30:E33"/>
    <mergeCell ref="F30:F33"/>
    <mergeCell ref="E3:E4"/>
    <mergeCell ref="E40:E41"/>
    <mergeCell ref="F40:F41"/>
    <mergeCell ref="A44:D44"/>
    <mergeCell ref="A45:D45"/>
    <mergeCell ref="F3:F4"/>
    <mergeCell ref="A43:B43"/>
    <mergeCell ref="E5:E12"/>
    <mergeCell ref="E13:E15"/>
    <mergeCell ref="E16:E20"/>
    <mergeCell ref="E21:E23"/>
    <mergeCell ref="F5:F12"/>
    <mergeCell ref="F13:F15"/>
    <mergeCell ref="A13:A15"/>
    <mergeCell ref="A16:A20"/>
    <mergeCell ref="A40:A41"/>
    <mergeCell ref="F34:F39"/>
  </mergeCells>
  <pageMargins left="0.59055118110236227" right="0.19685039370078741" top="0.78740157480314965" bottom="0.78740157480314965" header="0.31496062992125984" footer="0.31496062992125984"/>
  <pageSetup paperSize="9" scale="9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9160" r:id="rId4" name="Check Box 3">
              <controlPr defaultSize="0" autoFill="0" autoLine="0" autoPict="0">
                <anchor moveWithCells="1">
                  <from>
                    <xdr:col>3</xdr:col>
                    <xdr:colOff>19050</xdr:colOff>
                    <xdr:row>4</xdr:row>
                    <xdr:rowOff>133350</xdr:rowOff>
                  </from>
                  <to>
                    <xdr:col>3</xdr:col>
                    <xdr:colOff>314325</xdr:colOff>
                    <xdr:row>6</xdr:row>
                    <xdr:rowOff>28575</xdr:rowOff>
                  </to>
                </anchor>
              </controlPr>
            </control>
          </mc:Choice>
        </mc:AlternateContent>
        <mc:AlternateContent xmlns:mc="http://schemas.openxmlformats.org/markup-compatibility/2006">
          <mc:Choice Requires="x14">
            <control shapeId="49162" r:id="rId5" name="Check Box 3">
              <controlPr defaultSize="0" autoFill="0" autoLine="0" autoPict="0">
                <anchor moveWithCells="1">
                  <from>
                    <xdr:col>3</xdr:col>
                    <xdr:colOff>19050</xdr:colOff>
                    <xdr:row>5</xdr:row>
                    <xdr:rowOff>171450</xdr:rowOff>
                  </from>
                  <to>
                    <xdr:col>3</xdr:col>
                    <xdr:colOff>200025</xdr:colOff>
                    <xdr:row>6</xdr:row>
                    <xdr:rowOff>171450</xdr:rowOff>
                  </to>
                </anchor>
              </controlPr>
            </control>
          </mc:Choice>
        </mc:AlternateContent>
        <mc:AlternateContent xmlns:mc="http://schemas.openxmlformats.org/markup-compatibility/2006">
          <mc:Choice Requires="x14">
            <control shapeId="49164" r:id="rId6" name="Check Box 3">
              <controlPr defaultSize="0" autoFill="0" autoLine="0" autoPict="0">
                <anchor moveWithCells="1">
                  <from>
                    <xdr:col>1</xdr:col>
                    <xdr:colOff>19050</xdr:colOff>
                    <xdr:row>4</xdr:row>
                    <xdr:rowOff>133350</xdr:rowOff>
                  </from>
                  <to>
                    <xdr:col>2</xdr:col>
                    <xdr:colOff>104775</xdr:colOff>
                    <xdr:row>6</xdr:row>
                    <xdr:rowOff>28575</xdr:rowOff>
                  </to>
                </anchor>
              </controlPr>
            </control>
          </mc:Choice>
        </mc:AlternateContent>
        <mc:AlternateContent xmlns:mc="http://schemas.openxmlformats.org/markup-compatibility/2006">
          <mc:Choice Requires="x14">
            <control shapeId="49165" r:id="rId7" name="Check Box 3">
              <controlPr defaultSize="0" autoFill="0" autoLine="0" autoPict="0">
                <anchor moveWithCells="1">
                  <from>
                    <xdr:col>1</xdr:col>
                    <xdr:colOff>19050</xdr:colOff>
                    <xdr:row>7</xdr:row>
                    <xdr:rowOff>133350</xdr:rowOff>
                  </from>
                  <to>
                    <xdr:col>2</xdr:col>
                    <xdr:colOff>104775</xdr:colOff>
                    <xdr:row>9</xdr:row>
                    <xdr:rowOff>28575</xdr:rowOff>
                  </to>
                </anchor>
              </controlPr>
            </control>
          </mc:Choice>
        </mc:AlternateContent>
        <mc:AlternateContent xmlns:mc="http://schemas.openxmlformats.org/markup-compatibility/2006">
          <mc:Choice Requires="x14">
            <control shapeId="49166" r:id="rId8"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67" r:id="rId9" name="Check Box 3">
              <controlPr defaultSize="0" autoFill="0" autoLine="0" autoPict="0">
                <anchor moveWithCells="1">
                  <from>
                    <xdr:col>1</xdr:col>
                    <xdr:colOff>19050</xdr:colOff>
                    <xdr:row>5</xdr:row>
                    <xdr:rowOff>133350</xdr:rowOff>
                  </from>
                  <to>
                    <xdr:col>2</xdr:col>
                    <xdr:colOff>104775</xdr:colOff>
                    <xdr:row>7</xdr:row>
                    <xdr:rowOff>38100</xdr:rowOff>
                  </to>
                </anchor>
              </controlPr>
            </control>
          </mc:Choice>
        </mc:AlternateContent>
        <mc:AlternateContent xmlns:mc="http://schemas.openxmlformats.org/markup-compatibility/2006">
          <mc:Choice Requires="x14">
            <control shapeId="49168" r:id="rId10" name="Check Box 3">
              <controlPr defaultSize="0" autoFill="0" autoLine="0" autoPict="0">
                <anchor moveWithCells="1">
                  <from>
                    <xdr:col>3</xdr:col>
                    <xdr:colOff>28575</xdr:colOff>
                    <xdr:row>10</xdr:row>
                    <xdr:rowOff>152400</xdr:rowOff>
                  </from>
                  <to>
                    <xdr:col>3</xdr:col>
                    <xdr:colOff>361950</xdr:colOff>
                    <xdr:row>12</xdr:row>
                    <xdr:rowOff>47625</xdr:rowOff>
                  </to>
                </anchor>
              </controlPr>
            </control>
          </mc:Choice>
        </mc:AlternateContent>
        <mc:AlternateContent xmlns:mc="http://schemas.openxmlformats.org/markup-compatibility/2006">
          <mc:Choice Requires="x14">
            <control shapeId="49170" r:id="rId11"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72" r:id="rId12" name="Check Box 3">
              <controlPr defaultSize="0" autoFill="0" autoLine="0" autoPict="0">
                <anchor moveWithCells="1">
                  <from>
                    <xdr:col>1</xdr:col>
                    <xdr:colOff>19050</xdr:colOff>
                    <xdr:row>3</xdr:row>
                    <xdr:rowOff>161925</xdr:rowOff>
                  </from>
                  <to>
                    <xdr:col>2</xdr:col>
                    <xdr:colOff>104775</xdr:colOff>
                    <xdr:row>5</xdr:row>
                    <xdr:rowOff>57150</xdr:rowOff>
                  </to>
                </anchor>
              </controlPr>
            </control>
          </mc:Choice>
        </mc:AlternateContent>
        <mc:AlternateContent xmlns:mc="http://schemas.openxmlformats.org/markup-compatibility/2006">
          <mc:Choice Requires="x14">
            <control shapeId="49174" r:id="rId13" name="Check Box 3">
              <controlPr defaultSize="0" autoFill="0" autoLine="0" autoPict="0">
                <anchor moveWithCells="1">
                  <from>
                    <xdr:col>1</xdr:col>
                    <xdr:colOff>19050</xdr:colOff>
                    <xdr:row>8</xdr:row>
                    <xdr:rowOff>133350</xdr:rowOff>
                  </from>
                  <to>
                    <xdr:col>2</xdr:col>
                    <xdr:colOff>104775</xdr:colOff>
                    <xdr:row>10</xdr:row>
                    <xdr:rowOff>28575</xdr:rowOff>
                  </to>
                </anchor>
              </controlPr>
            </control>
          </mc:Choice>
        </mc:AlternateContent>
        <mc:AlternateContent xmlns:mc="http://schemas.openxmlformats.org/markup-compatibility/2006">
          <mc:Choice Requires="x14">
            <control shapeId="49176" r:id="rId14" name="Check Box 3">
              <controlPr defaultSize="0" autoFill="0" autoLine="0" autoPict="0">
                <anchor moveWithCells="1">
                  <from>
                    <xdr:col>1</xdr:col>
                    <xdr:colOff>19050</xdr:colOff>
                    <xdr:row>9</xdr:row>
                    <xdr:rowOff>123825</xdr:rowOff>
                  </from>
                  <to>
                    <xdr:col>2</xdr:col>
                    <xdr:colOff>104775</xdr:colOff>
                    <xdr:row>11</xdr:row>
                    <xdr:rowOff>28575</xdr:rowOff>
                  </to>
                </anchor>
              </controlPr>
            </control>
          </mc:Choice>
        </mc:AlternateContent>
        <mc:AlternateContent xmlns:mc="http://schemas.openxmlformats.org/markup-compatibility/2006">
          <mc:Choice Requires="x14">
            <control shapeId="49180" r:id="rId15" name="Check Box 3">
              <controlPr defaultSize="0" autoFill="0" autoLine="0" autoPict="0">
                <anchor moveWithCells="1">
                  <from>
                    <xdr:col>3</xdr:col>
                    <xdr:colOff>19050</xdr:colOff>
                    <xdr:row>6</xdr:row>
                    <xdr:rowOff>133350</xdr:rowOff>
                  </from>
                  <to>
                    <xdr:col>3</xdr:col>
                    <xdr:colOff>314325</xdr:colOff>
                    <xdr:row>8</xdr:row>
                    <xdr:rowOff>28575</xdr:rowOff>
                  </to>
                </anchor>
              </controlPr>
            </control>
          </mc:Choice>
        </mc:AlternateContent>
        <mc:AlternateContent xmlns:mc="http://schemas.openxmlformats.org/markup-compatibility/2006">
          <mc:Choice Requires="x14">
            <control shapeId="49182" r:id="rId16" name="Check Box 3">
              <controlPr defaultSize="0" autoFill="0" autoLine="0" autoPict="0">
                <anchor moveWithCells="1">
                  <from>
                    <xdr:col>3</xdr:col>
                    <xdr:colOff>19050</xdr:colOff>
                    <xdr:row>8</xdr:row>
                    <xdr:rowOff>152400</xdr:rowOff>
                  </from>
                  <to>
                    <xdr:col>3</xdr:col>
                    <xdr:colOff>314325</xdr:colOff>
                    <xdr:row>10</xdr:row>
                    <xdr:rowOff>57150</xdr:rowOff>
                  </to>
                </anchor>
              </controlPr>
            </control>
          </mc:Choice>
        </mc:AlternateContent>
        <mc:AlternateContent xmlns:mc="http://schemas.openxmlformats.org/markup-compatibility/2006">
          <mc:Choice Requires="x14">
            <control shapeId="49183" r:id="rId17" name="Check Box 3">
              <controlPr defaultSize="0" autoFill="0" autoLine="0" autoPict="0">
                <anchor moveWithCells="1">
                  <from>
                    <xdr:col>3</xdr:col>
                    <xdr:colOff>19050</xdr:colOff>
                    <xdr:row>7</xdr:row>
                    <xdr:rowOff>133350</xdr:rowOff>
                  </from>
                  <to>
                    <xdr:col>3</xdr:col>
                    <xdr:colOff>314325</xdr:colOff>
                    <xdr:row>9</xdr:row>
                    <xdr:rowOff>38100</xdr:rowOff>
                  </to>
                </anchor>
              </controlPr>
            </control>
          </mc:Choice>
        </mc:AlternateContent>
        <mc:AlternateContent xmlns:mc="http://schemas.openxmlformats.org/markup-compatibility/2006">
          <mc:Choice Requires="x14">
            <control shapeId="49189" r:id="rId18" name="Check Box 3">
              <controlPr defaultSize="0" autoFill="0" autoLine="0" autoPict="0">
                <anchor moveWithCells="1">
                  <from>
                    <xdr:col>3</xdr:col>
                    <xdr:colOff>19050</xdr:colOff>
                    <xdr:row>11</xdr:row>
                    <xdr:rowOff>152400</xdr:rowOff>
                  </from>
                  <to>
                    <xdr:col>3</xdr:col>
                    <xdr:colOff>314325</xdr:colOff>
                    <xdr:row>13</xdr:row>
                    <xdr:rowOff>47625</xdr:rowOff>
                  </to>
                </anchor>
              </controlPr>
            </control>
          </mc:Choice>
        </mc:AlternateContent>
        <mc:AlternateContent xmlns:mc="http://schemas.openxmlformats.org/markup-compatibility/2006">
          <mc:Choice Requires="x14">
            <control shapeId="49192" r:id="rId19" name="Check Box 3">
              <controlPr defaultSize="0" autoFill="0" autoLine="0" autoPict="0">
                <anchor moveWithCells="1">
                  <from>
                    <xdr:col>3</xdr:col>
                    <xdr:colOff>19050</xdr:colOff>
                    <xdr:row>12</xdr:row>
                    <xdr:rowOff>133350</xdr:rowOff>
                  </from>
                  <to>
                    <xdr:col>3</xdr:col>
                    <xdr:colOff>314325</xdr:colOff>
                    <xdr:row>14</xdr:row>
                    <xdr:rowOff>38100</xdr:rowOff>
                  </to>
                </anchor>
              </controlPr>
            </control>
          </mc:Choice>
        </mc:AlternateContent>
        <mc:AlternateContent xmlns:mc="http://schemas.openxmlformats.org/markup-compatibility/2006">
          <mc:Choice Requires="x14">
            <control shapeId="49194" r:id="rId20" name="Check Box 3">
              <controlPr defaultSize="0" autoFill="0" autoLine="0" autoPict="0">
                <anchor moveWithCells="1">
                  <from>
                    <xdr:col>3</xdr:col>
                    <xdr:colOff>19050</xdr:colOff>
                    <xdr:row>9</xdr:row>
                    <xdr:rowOff>133350</xdr:rowOff>
                  </from>
                  <to>
                    <xdr:col>3</xdr:col>
                    <xdr:colOff>314325</xdr:colOff>
                    <xdr:row>11</xdr:row>
                    <xdr:rowOff>28575</xdr:rowOff>
                  </to>
                </anchor>
              </controlPr>
            </control>
          </mc:Choice>
        </mc:AlternateContent>
        <mc:AlternateContent xmlns:mc="http://schemas.openxmlformats.org/markup-compatibility/2006">
          <mc:Choice Requires="x14">
            <control shapeId="49196" r:id="rId21" name="Check Box 3">
              <controlPr defaultSize="0" autoFill="0" autoLine="0" autoPict="0">
                <anchor moveWithCells="1">
                  <from>
                    <xdr:col>3</xdr:col>
                    <xdr:colOff>19050</xdr:colOff>
                    <xdr:row>13</xdr:row>
                    <xdr:rowOff>133350</xdr:rowOff>
                  </from>
                  <to>
                    <xdr:col>3</xdr:col>
                    <xdr:colOff>314325</xdr:colOff>
                    <xdr:row>15</xdr:row>
                    <xdr:rowOff>28575</xdr:rowOff>
                  </to>
                </anchor>
              </controlPr>
            </control>
          </mc:Choice>
        </mc:AlternateContent>
        <mc:AlternateContent xmlns:mc="http://schemas.openxmlformats.org/markup-compatibility/2006">
          <mc:Choice Requires="x14">
            <control shapeId="49197" r:id="rId22" name="Check Box 3">
              <controlPr defaultSize="0" autoFill="0" autoLine="0" autoPict="0">
                <anchor moveWithCells="1">
                  <from>
                    <xdr:col>3</xdr:col>
                    <xdr:colOff>19050</xdr:colOff>
                    <xdr:row>15</xdr:row>
                    <xdr:rowOff>19050</xdr:rowOff>
                  </from>
                  <to>
                    <xdr:col>3</xdr:col>
                    <xdr:colOff>314325</xdr:colOff>
                    <xdr:row>16</xdr:row>
                    <xdr:rowOff>38100</xdr:rowOff>
                  </to>
                </anchor>
              </controlPr>
            </control>
          </mc:Choice>
        </mc:AlternateContent>
        <mc:AlternateContent xmlns:mc="http://schemas.openxmlformats.org/markup-compatibility/2006">
          <mc:Choice Requires="x14">
            <control shapeId="49199" r:id="rId23" name="Check Box 3">
              <controlPr defaultSize="0" autoFill="0" autoLine="0" autoPict="0">
                <anchor moveWithCells="1">
                  <from>
                    <xdr:col>3</xdr:col>
                    <xdr:colOff>19050</xdr:colOff>
                    <xdr:row>16</xdr:row>
                    <xdr:rowOff>133350</xdr:rowOff>
                  </from>
                  <to>
                    <xdr:col>3</xdr:col>
                    <xdr:colOff>314325</xdr:colOff>
                    <xdr:row>18</xdr:row>
                    <xdr:rowOff>38100</xdr:rowOff>
                  </to>
                </anchor>
              </controlPr>
            </control>
          </mc:Choice>
        </mc:AlternateContent>
        <mc:AlternateContent xmlns:mc="http://schemas.openxmlformats.org/markup-compatibility/2006">
          <mc:Choice Requires="x14">
            <control shapeId="49201" r:id="rId24" name="Check Box 3">
              <controlPr defaultSize="0" autoFill="0" autoLine="0" autoPict="0">
                <anchor moveWithCells="1">
                  <from>
                    <xdr:col>3</xdr:col>
                    <xdr:colOff>19050</xdr:colOff>
                    <xdr:row>15</xdr:row>
                    <xdr:rowOff>142875</xdr:rowOff>
                  </from>
                  <to>
                    <xdr:col>3</xdr:col>
                    <xdr:colOff>314325</xdr:colOff>
                    <xdr:row>17</xdr:row>
                    <xdr:rowOff>47625</xdr:rowOff>
                  </to>
                </anchor>
              </controlPr>
            </control>
          </mc:Choice>
        </mc:AlternateContent>
        <mc:AlternateContent xmlns:mc="http://schemas.openxmlformats.org/markup-compatibility/2006">
          <mc:Choice Requires="x14">
            <control shapeId="49202" r:id="rId25" name="Check Box 3">
              <controlPr defaultSize="0" autoFill="0" autoLine="0" autoPict="0">
                <anchor moveWithCells="1">
                  <from>
                    <xdr:col>3</xdr:col>
                    <xdr:colOff>19050</xdr:colOff>
                    <xdr:row>18</xdr:row>
                    <xdr:rowOff>133350</xdr:rowOff>
                  </from>
                  <to>
                    <xdr:col>3</xdr:col>
                    <xdr:colOff>314325</xdr:colOff>
                    <xdr:row>20</xdr:row>
                    <xdr:rowOff>28575</xdr:rowOff>
                  </to>
                </anchor>
              </controlPr>
            </control>
          </mc:Choice>
        </mc:AlternateContent>
        <mc:AlternateContent xmlns:mc="http://schemas.openxmlformats.org/markup-compatibility/2006">
          <mc:Choice Requires="x14">
            <control shapeId="49204" r:id="rId26" name="Check Box 3">
              <controlPr defaultSize="0" autoFill="0" autoLine="0" autoPict="0">
                <anchor moveWithCells="1">
                  <from>
                    <xdr:col>3</xdr:col>
                    <xdr:colOff>19050</xdr:colOff>
                    <xdr:row>20</xdr:row>
                    <xdr:rowOff>142875</xdr:rowOff>
                  </from>
                  <to>
                    <xdr:col>3</xdr:col>
                    <xdr:colOff>314325</xdr:colOff>
                    <xdr:row>22</xdr:row>
                    <xdr:rowOff>47625</xdr:rowOff>
                  </to>
                </anchor>
              </controlPr>
            </control>
          </mc:Choice>
        </mc:AlternateContent>
        <mc:AlternateContent xmlns:mc="http://schemas.openxmlformats.org/markup-compatibility/2006">
          <mc:Choice Requires="x14">
            <control shapeId="49206" r:id="rId27" name="Check Box 3">
              <controlPr defaultSize="0" autoFill="0" autoLine="0" autoPict="0">
                <anchor moveWithCells="1">
                  <from>
                    <xdr:col>3</xdr:col>
                    <xdr:colOff>19050</xdr:colOff>
                    <xdr:row>19</xdr:row>
                    <xdr:rowOff>142875</xdr:rowOff>
                  </from>
                  <to>
                    <xdr:col>3</xdr:col>
                    <xdr:colOff>314325</xdr:colOff>
                    <xdr:row>21</xdr:row>
                    <xdr:rowOff>38100</xdr:rowOff>
                  </to>
                </anchor>
              </controlPr>
            </control>
          </mc:Choice>
        </mc:AlternateContent>
        <mc:AlternateContent xmlns:mc="http://schemas.openxmlformats.org/markup-compatibility/2006">
          <mc:Choice Requires="x14">
            <control shapeId="49208" r:id="rId28" name="Check Box 3">
              <controlPr defaultSize="0" autoFill="0" autoLine="0" autoPict="0">
                <anchor moveWithCells="1">
                  <from>
                    <xdr:col>3</xdr:col>
                    <xdr:colOff>19050</xdr:colOff>
                    <xdr:row>17</xdr:row>
                    <xdr:rowOff>123825</xdr:rowOff>
                  </from>
                  <to>
                    <xdr:col>3</xdr:col>
                    <xdr:colOff>314325</xdr:colOff>
                    <xdr:row>19</xdr:row>
                    <xdr:rowOff>19050</xdr:rowOff>
                  </to>
                </anchor>
              </controlPr>
            </control>
          </mc:Choice>
        </mc:AlternateContent>
        <mc:AlternateContent xmlns:mc="http://schemas.openxmlformats.org/markup-compatibility/2006">
          <mc:Choice Requires="x14">
            <control shapeId="49213" r:id="rId29" name="Check Box 3">
              <controlPr defaultSize="0" autoFill="0" autoLine="0" autoPict="0">
                <anchor moveWithCells="1">
                  <from>
                    <xdr:col>3</xdr:col>
                    <xdr:colOff>19050</xdr:colOff>
                    <xdr:row>21</xdr:row>
                    <xdr:rowOff>142875</xdr:rowOff>
                  </from>
                  <to>
                    <xdr:col>3</xdr:col>
                    <xdr:colOff>314325</xdr:colOff>
                    <xdr:row>23</xdr:row>
                    <xdr:rowOff>38100</xdr:rowOff>
                  </to>
                </anchor>
              </controlPr>
            </control>
          </mc:Choice>
        </mc:AlternateContent>
        <mc:AlternateContent xmlns:mc="http://schemas.openxmlformats.org/markup-compatibility/2006">
          <mc:Choice Requires="x14">
            <control shapeId="49214" r:id="rId30" name="Check Box 3">
              <controlPr defaultSize="0" autoFill="0" autoLine="0" autoPict="0">
                <anchor moveWithCells="1">
                  <from>
                    <xdr:col>3</xdr:col>
                    <xdr:colOff>19050</xdr:colOff>
                    <xdr:row>24</xdr:row>
                    <xdr:rowOff>133350</xdr:rowOff>
                  </from>
                  <to>
                    <xdr:col>3</xdr:col>
                    <xdr:colOff>314325</xdr:colOff>
                    <xdr:row>26</xdr:row>
                    <xdr:rowOff>28575</xdr:rowOff>
                  </to>
                </anchor>
              </controlPr>
            </control>
          </mc:Choice>
        </mc:AlternateContent>
        <mc:AlternateContent xmlns:mc="http://schemas.openxmlformats.org/markup-compatibility/2006">
          <mc:Choice Requires="x14">
            <control shapeId="49216" r:id="rId31" name="Check Box 3">
              <controlPr defaultSize="0" autoFill="0" autoLine="0" autoPict="0">
                <anchor moveWithCells="1">
                  <from>
                    <xdr:col>3</xdr:col>
                    <xdr:colOff>19050</xdr:colOff>
                    <xdr:row>22</xdr:row>
                    <xdr:rowOff>142875</xdr:rowOff>
                  </from>
                  <to>
                    <xdr:col>3</xdr:col>
                    <xdr:colOff>304800</xdr:colOff>
                    <xdr:row>24</xdr:row>
                    <xdr:rowOff>38100</xdr:rowOff>
                  </to>
                </anchor>
              </controlPr>
            </control>
          </mc:Choice>
        </mc:AlternateContent>
        <mc:AlternateContent xmlns:mc="http://schemas.openxmlformats.org/markup-compatibility/2006">
          <mc:Choice Requires="x14">
            <control shapeId="49217" r:id="rId32" name="Check Box 3">
              <controlPr defaultSize="0" autoFill="0" autoLine="0" autoPict="0">
                <anchor moveWithCells="1">
                  <from>
                    <xdr:col>3</xdr:col>
                    <xdr:colOff>19050</xdr:colOff>
                    <xdr:row>26</xdr:row>
                    <xdr:rowOff>152400</xdr:rowOff>
                  </from>
                  <to>
                    <xdr:col>3</xdr:col>
                    <xdr:colOff>314325</xdr:colOff>
                    <xdr:row>28</xdr:row>
                    <xdr:rowOff>47625</xdr:rowOff>
                  </to>
                </anchor>
              </controlPr>
            </control>
          </mc:Choice>
        </mc:AlternateContent>
        <mc:AlternateContent xmlns:mc="http://schemas.openxmlformats.org/markup-compatibility/2006">
          <mc:Choice Requires="x14">
            <control shapeId="49220" r:id="rId33" name="Check Box 3">
              <controlPr defaultSize="0" autoFill="0" autoLine="0" autoPict="0">
                <anchor moveWithCells="1">
                  <from>
                    <xdr:col>3</xdr:col>
                    <xdr:colOff>19050</xdr:colOff>
                    <xdr:row>23</xdr:row>
                    <xdr:rowOff>133350</xdr:rowOff>
                  </from>
                  <to>
                    <xdr:col>3</xdr:col>
                    <xdr:colOff>314325</xdr:colOff>
                    <xdr:row>25</xdr:row>
                    <xdr:rowOff>28575</xdr:rowOff>
                  </to>
                </anchor>
              </controlPr>
            </control>
          </mc:Choice>
        </mc:AlternateContent>
        <mc:AlternateContent xmlns:mc="http://schemas.openxmlformats.org/markup-compatibility/2006">
          <mc:Choice Requires="x14">
            <control shapeId="49222" r:id="rId34" name="Check Box 3">
              <controlPr defaultSize="0" autoFill="0" autoLine="0" autoPict="0">
                <anchor moveWithCells="1">
                  <from>
                    <xdr:col>3</xdr:col>
                    <xdr:colOff>19050</xdr:colOff>
                    <xdr:row>28</xdr:row>
                    <xdr:rowOff>133350</xdr:rowOff>
                  </from>
                  <to>
                    <xdr:col>3</xdr:col>
                    <xdr:colOff>314325</xdr:colOff>
                    <xdr:row>30</xdr:row>
                    <xdr:rowOff>28575</xdr:rowOff>
                  </to>
                </anchor>
              </controlPr>
            </control>
          </mc:Choice>
        </mc:AlternateContent>
        <mc:AlternateContent xmlns:mc="http://schemas.openxmlformats.org/markup-compatibility/2006">
          <mc:Choice Requires="x14">
            <control shapeId="49225" r:id="rId35" name="Check Box 3">
              <controlPr defaultSize="0" autoFill="0" autoLine="0" autoPict="0">
                <anchor moveWithCells="1">
                  <from>
                    <xdr:col>3</xdr:col>
                    <xdr:colOff>19050</xdr:colOff>
                    <xdr:row>27</xdr:row>
                    <xdr:rowOff>133350</xdr:rowOff>
                  </from>
                  <to>
                    <xdr:col>3</xdr:col>
                    <xdr:colOff>314325</xdr:colOff>
                    <xdr:row>29</xdr:row>
                    <xdr:rowOff>38100</xdr:rowOff>
                  </to>
                </anchor>
              </controlPr>
            </control>
          </mc:Choice>
        </mc:AlternateContent>
        <mc:AlternateContent xmlns:mc="http://schemas.openxmlformats.org/markup-compatibility/2006">
          <mc:Choice Requires="x14">
            <control shapeId="49227" r:id="rId36" name="Check Box 3">
              <controlPr defaultSize="0" autoFill="0" autoLine="0" autoPict="0">
                <anchor moveWithCells="1">
                  <from>
                    <xdr:col>3</xdr:col>
                    <xdr:colOff>19050</xdr:colOff>
                    <xdr:row>30</xdr:row>
                    <xdr:rowOff>133350</xdr:rowOff>
                  </from>
                  <to>
                    <xdr:col>3</xdr:col>
                    <xdr:colOff>314325</xdr:colOff>
                    <xdr:row>32</xdr:row>
                    <xdr:rowOff>28575</xdr:rowOff>
                  </to>
                </anchor>
              </controlPr>
            </control>
          </mc:Choice>
        </mc:AlternateContent>
        <mc:AlternateContent xmlns:mc="http://schemas.openxmlformats.org/markup-compatibility/2006">
          <mc:Choice Requires="x14">
            <control shapeId="49229" r:id="rId37" name="Check Box 3">
              <controlPr defaultSize="0" autoFill="0" autoLine="0" autoPict="0">
                <anchor moveWithCells="1">
                  <from>
                    <xdr:col>3</xdr:col>
                    <xdr:colOff>19050</xdr:colOff>
                    <xdr:row>29</xdr:row>
                    <xdr:rowOff>133350</xdr:rowOff>
                  </from>
                  <to>
                    <xdr:col>3</xdr:col>
                    <xdr:colOff>314325</xdr:colOff>
                    <xdr:row>31</xdr:row>
                    <xdr:rowOff>28575</xdr:rowOff>
                  </to>
                </anchor>
              </controlPr>
            </control>
          </mc:Choice>
        </mc:AlternateContent>
        <mc:AlternateContent xmlns:mc="http://schemas.openxmlformats.org/markup-compatibility/2006">
          <mc:Choice Requires="x14">
            <control shapeId="49231" r:id="rId38" name="Check Box 3">
              <controlPr defaultSize="0" autoFill="0" autoLine="0" autoPict="0">
                <anchor moveWithCells="1">
                  <from>
                    <xdr:col>3</xdr:col>
                    <xdr:colOff>19050</xdr:colOff>
                    <xdr:row>32</xdr:row>
                    <xdr:rowOff>142875</xdr:rowOff>
                  </from>
                  <to>
                    <xdr:col>3</xdr:col>
                    <xdr:colOff>314325</xdr:colOff>
                    <xdr:row>34</xdr:row>
                    <xdr:rowOff>38100</xdr:rowOff>
                  </to>
                </anchor>
              </controlPr>
            </control>
          </mc:Choice>
        </mc:AlternateContent>
        <mc:AlternateContent xmlns:mc="http://schemas.openxmlformats.org/markup-compatibility/2006">
          <mc:Choice Requires="x14">
            <control shapeId="49233" r:id="rId39" name="Check Box 3">
              <controlPr defaultSize="0" autoFill="0" autoLine="0" autoPict="0">
                <anchor moveWithCells="1">
                  <from>
                    <xdr:col>3</xdr:col>
                    <xdr:colOff>19050</xdr:colOff>
                    <xdr:row>33</xdr:row>
                    <xdr:rowOff>133350</xdr:rowOff>
                  </from>
                  <to>
                    <xdr:col>3</xdr:col>
                    <xdr:colOff>314325</xdr:colOff>
                    <xdr:row>35</xdr:row>
                    <xdr:rowOff>38100</xdr:rowOff>
                  </to>
                </anchor>
              </controlPr>
            </control>
          </mc:Choice>
        </mc:AlternateContent>
        <mc:AlternateContent xmlns:mc="http://schemas.openxmlformats.org/markup-compatibility/2006">
          <mc:Choice Requires="x14">
            <control shapeId="49235" r:id="rId40" name="Check Box 3">
              <controlPr defaultSize="0" autoFill="0" autoLine="0" autoPict="0">
                <anchor moveWithCells="1">
                  <from>
                    <xdr:col>3</xdr:col>
                    <xdr:colOff>19050</xdr:colOff>
                    <xdr:row>34</xdr:row>
                    <xdr:rowOff>133350</xdr:rowOff>
                  </from>
                  <to>
                    <xdr:col>3</xdr:col>
                    <xdr:colOff>314325</xdr:colOff>
                    <xdr:row>36</xdr:row>
                    <xdr:rowOff>38100</xdr:rowOff>
                  </to>
                </anchor>
              </controlPr>
            </control>
          </mc:Choice>
        </mc:AlternateContent>
        <mc:AlternateContent xmlns:mc="http://schemas.openxmlformats.org/markup-compatibility/2006">
          <mc:Choice Requires="x14">
            <control shapeId="49237" r:id="rId41" name="Check Box 3">
              <controlPr defaultSize="0" autoFill="0" autoLine="0" autoPict="0">
                <anchor moveWithCells="1">
                  <from>
                    <xdr:col>3</xdr:col>
                    <xdr:colOff>19050</xdr:colOff>
                    <xdr:row>36</xdr:row>
                    <xdr:rowOff>76200</xdr:rowOff>
                  </from>
                  <to>
                    <xdr:col>3</xdr:col>
                    <xdr:colOff>314325</xdr:colOff>
                    <xdr:row>38</xdr:row>
                    <xdr:rowOff>76200</xdr:rowOff>
                  </to>
                </anchor>
              </controlPr>
            </control>
          </mc:Choice>
        </mc:AlternateContent>
        <mc:AlternateContent xmlns:mc="http://schemas.openxmlformats.org/markup-compatibility/2006">
          <mc:Choice Requires="x14">
            <control shapeId="49239" r:id="rId42" name="Check Box 3">
              <controlPr defaultSize="0" autoFill="0" autoLine="0" autoPict="0">
                <anchor moveWithCells="1">
                  <from>
                    <xdr:col>3</xdr:col>
                    <xdr:colOff>28575</xdr:colOff>
                    <xdr:row>35</xdr:row>
                    <xdr:rowOff>142875</xdr:rowOff>
                  </from>
                  <to>
                    <xdr:col>3</xdr:col>
                    <xdr:colOff>323850</xdr:colOff>
                    <xdr:row>37</xdr:row>
                    <xdr:rowOff>47625</xdr:rowOff>
                  </to>
                </anchor>
              </controlPr>
            </control>
          </mc:Choice>
        </mc:AlternateContent>
        <mc:AlternateContent xmlns:mc="http://schemas.openxmlformats.org/markup-compatibility/2006">
          <mc:Choice Requires="x14">
            <control shapeId="49242" r:id="rId43" name="Check Box 3">
              <controlPr defaultSize="0" autoFill="0" autoLine="0" autoPict="0">
                <anchor moveWithCells="1">
                  <from>
                    <xdr:col>3</xdr:col>
                    <xdr:colOff>19050</xdr:colOff>
                    <xdr:row>37</xdr:row>
                    <xdr:rowOff>133350</xdr:rowOff>
                  </from>
                  <to>
                    <xdr:col>3</xdr:col>
                    <xdr:colOff>314325</xdr:colOff>
                    <xdr:row>39</xdr:row>
                    <xdr:rowOff>19050</xdr:rowOff>
                  </to>
                </anchor>
              </controlPr>
            </control>
          </mc:Choice>
        </mc:AlternateContent>
        <mc:AlternateContent xmlns:mc="http://schemas.openxmlformats.org/markup-compatibility/2006">
          <mc:Choice Requires="x14">
            <control shapeId="49244" r:id="rId44" name="Check Box 3">
              <controlPr defaultSize="0" autoFill="0" autoLine="0" autoPict="0">
                <anchor moveWithCells="1">
                  <from>
                    <xdr:col>3</xdr:col>
                    <xdr:colOff>47625</xdr:colOff>
                    <xdr:row>40</xdr:row>
                    <xdr:rowOff>171450</xdr:rowOff>
                  </from>
                  <to>
                    <xdr:col>3</xdr:col>
                    <xdr:colOff>323850</xdr:colOff>
                    <xdr:row>42</xdr:row>
                    <xdr:rowOff>0</xdr:rowOff>
                  </to>
                </anchor>
              </controlPr>
            </control>
          </mc:Choice>
        </mc:AlternateContent>
        <mc:AlternateContent xmlns:mc="http://schemas.openxmlformats.org/markup-compatibility/2006">
          <mc:Choice Requires="x14">
            <control shapeId="49246" r:id="rId45" name="Check Box 3">
              <controlPr defaultSize="0" autoFill="0" autoLine="0" autoPict="0">
                <anchor moveWithCells="1">
                  <from>
                    <xdr:col>3</xdr:col>
                    <xdr:colOff>38100</xdr:colOff>
                    <xdr:row>39</xdr:row>
                    <xdr:rowOff>114300</xdr:rowOff>
                  </from>
                  <to>
                    <xdr:col>3</xdr:col>
                    <xdr:colOff>447675</xdr:colOff>
                    <xdr:row>41</xdr:row>
                    <xdr:rowOff>38100</xdr:rowOff>
                  </to>
                </anchor>
              </controlPr>
            </control>
          </mc:Choice>
        </mc:AlternateContent>
        <mc:AlternateContent xmlns:mc="http://schemas.openxmlformats.org/markup-compatibility/2006">
          <mc:Choice Requires="x14">
            <control shapeId="49248" r:id="rId46" name="Check Box 3">
              <controlPr defaultSize="0" autoFill="0" autoLine="0" autoPict="0">
                <anchor moveWithCells="1">
                  <from>
                    <xdr:col>3</xdr:col>
                    <xdr:colOff>28575</xdr:colOff>
                    <xdr:row>38</xdr:row>
                    <xdr:rowOff>133350</xdr:rowOff>
                  </from>
                  <to>
                    <xdr:col>3</xdr:col>
                    <xdr:colOff>323850</xdr:colOff>
                    <xdr:row>40</xdr:row>
                    <xdr:rowOff>19050</xdr:rowOff>
                  </to>
                </anchor>
              </controlPr>
            </control>
          </mc:Choice>
        </mc:AlternateContent>
        <mc:AlternateContent xmlns:mc="http://schemas.openxmlformats.org/markup-compatibility/2006">
          <mc:Choice Requires="x14">
            <control shapeId="49249" r:id="rId47" name="Check Box 3">
              <controlPr defaultSize="0" autoFill="0" autoLine="0" autoPict="0">
                <anchor moveWithCells="1">
                  <from>
                    <xdr:col>2</xdr:col>
                    <xdr:colOff>9525</xdr:colOff>
                    <xdr:row>41</xdr:row>
                    <xdr:rowOff>171450</xdr:rowOff>
                  </from>
                  <to>
                    <xdr:col>2</xdr:col>
                    <xdr:colOff>285750</xdr:colOff>
                    <xdr:row>43</xdr:row>
                    <xdr:rowOff>0</xdr:rowOff>
                  </to>
                </anchor>
              </controlPr>
            </control>
          </mc:Choice>
        </mc:AlternateContent>
        <mc:AlternateContent xmlns:mc="http://schemas.openxmlformats.org/markup-compatibility/2006">
          <mc:Choice Requires="x14">
            <control shapeId="49250" r:id="rId48" name="Check Box 3">
              <controlPr defaultSize="0" autoFill="0" autoLine="0" autoPict="0">
                <anchor moveWithCells="1">
                  <from>
                    <xdr:col>3</xdr:col>
                    <xdr:colOff>1819275</xdr:colOff>
                    <xdr:row>43</xdr:row>
                    <xdr:rowOff>190500</xdr:rowOff>
                  </from>
                  <to>
                    <xdr:col>3</xdr:col>
                    <xdr:colOff>2105025</xdr:colOff>
                    <xdr:row>43</xdr:row>
                    <xdr:rowOff>390525</xdr:rowOff>
                  </to>
                </anchor>
              </controlPr>
            </control>
          </mc:Choice>
        </mc:AlternateContent>
        <mc:AlternateContent xmlns:mc="http://schemas.openxmlformats.org/markup-compatibility/2006">
          <mc:Choice Requires="x14">
            <control shapeId="49251" r:id="rId49" name="Check Box 3">
              <controlPr defaultSize="0" autoFill="0" autoLine="0" autoPict="0">
                <anchor moveWithCells="1">
                  <from>
                    <xdr:col>1</xdr:col>
                    <xdr:colOff>19050</xdr:colOff>
                    <xdr:row>11</xdr:row>
                    <xdr:rowOff>133350</xdr:rowOff>
                  </from>
                  <to>
                    <xdr:col>2</xdr:col>
                    <xdr:colOff>95250</xdr:colOff>
                    <xdr:row>13</xdr:row>
                    <xdr:rowOff>28575</xdr:rowOff>
                  </to>
                </anchor>
              </controlPr>
            </control>
          </mc:Choice>
        </mc:AlternateContent>
        <mc:AlternateContent xmlns:mc="http://schemas.openxmlformats.org/markup-compatibility/2006">
          <mc:Choice Requires="x14">
            <control shapeId="49253" r:id="rId50" name="Check Box 3">
              <controlPr defaultSize="0" autoFill="0" autoLine="0" autoPict="0">
                <anchor moveWithCells="1">
                  <from>
                    <xdr:col>1</xdr:col>
                    <xdr:colOff>19050</xdr:colOff>
                    <xdr:row>10</xdr:row>
                    <xdr:rowOff>123825</xdr:rowOff>
                  </from>
                  <to>
                    <xdr:col>2</xdr:col>
                    <xdr:colOff>104775</xdr:colOff>
                    <xdr:row>12</xdr:row>
                    <xdr:rowOff>19050</xdr:rowOff>
                  </to>
                </anchor>
              </controlPr>
            </control>
          </mc:Choice>
        </mc:AlternateContent>
        <mc:AlternateContent xmlns:mc="http://schemas.openxmlformats.org/markup-compatibility/2006">
          <mc:Choice Requires="x14">
            <control shapeId="49254" r:id="rId51" name="Check Box 3">
              <controlPr defaultSize="0" autoFill="0" autoLine="0" autoPict="0">
                <anchor moveWithCells="1">
                  <from>
                    <xdr:col>1</xdr:col>
                    <xdr:colOff>19050</xdr:colOff>
                    <xdr:row>12</xdr:row>
                    <xdr:rowOff>142875</xdr:rowOff>
                  </from>
                  <to>
                    <xdr:col>2</xdr:col>
                    <xdr:colOff>104775</xdr:colOff>
                    <xdr:row>14</xdr:row>
                    <xdr:rowOff>47625</xdr:rowOff>
                  </to>
                </anchor>
              </controlPr>
            </control>
          </mc:Choice>
        </mc:AlternateContent>
        <mc:AlternateContent xmlns:mc="http://schemas.openxmlformats.org/markup-compatibility/2006">
          <mc:Choice Requires="x14">
            <control shapeId="49255" r:id="rId52" name="Check Box 3">
              <controlPr defaultSize="0" autoFill="0" autoLine="0" autoPict="0">
                <anchor moveWithCells="1">
                  <from>
                    <xdr:col>1</xdr:col>
                    <xdr:colOff>19050</xdr:colOff>
                    <xdr:row>13</xdr:row>
                    <xdr:rowOff>142875</xdr:rowOff>
                  </from>
                  <to>
                    <xdr:col>2</xdr:col>
                    <xdr:colOff>104775</xdr:colOff>
                    <xdr:row>15</xdr:row>
                    <xdr:rowOff>38100</xdr:rowOff>
                  </to>
                </anchor>
              </controlPr>
            </control>
          </mc:Choice>
        </mc:AlternateContent>
        <mc:AlternateContent xmlns:mc="http://schemas.openxmlformats.org/markup-compatibility/2006">
          <mc:Choice Requires="x14">
            <control shapeId="49257" r:id="rId53" name="Check Box 3">
              <controlPr defaultSize="0" autoFill="0" autoLine="0" autoPict="0">
                <anchor moveWithCells="1">
                  <from>
                    <xdr:col>1</xdr:col>
                    <xdr:colOff>19050</xdr:colOff>
                    <xdr:row>14</xdr:row>
                    <xdr:rowOff>142875</xdr:rowOff>
                  </from>
                  <to>
                    <xdr:col>2</xdr:col>
                    <xdr:colOff>104775</xdr:colOff>
                    <xdr:row>16</xdr:row>
                    <xdr:rowOff>38100</xdr:rowOff>
                  </to>
                </anchor>
              </controlPr>
            </control>
          </mc:Choice>
        </mc:AlternateContent>
        <mc:AlternateContent xmlns:mc="http://schemas.openxmlformats.org/markup-compatibility/2006">
          <mc:Choice Requires="x14">
            <control shapeId="49258" r:id="rId54" name="Check Box 3">
              <controlPr defaultSize="0" autoFill="0" autoLine="0" autoPict="0">
                <anchor moveWithCells="1">
                  <from>
                    <xdr:col>1</xdr:col>
                    <xdr:colOff>19050</xdr:colOff>
                    <xdr:row>17</xdr:row>
                    <xdr:rowOff>133350</xdr:rowOff>
                  </from>
                  <to>
                    <xdr:col>2</xdr:col>
                    <xdr:colOff>104775</xdr:colOff>
                    <xdr:row>19</xdr:row>
                    <xdr:rowOff>28575</xdr:rowOff>
                  </to>
                </anchor>
              </controlPr>
            </control>
          </mc:Choice>
        </mc:AlternateContent>
        <mc:AlternateContent xmlns:mc="http://schemas.openxmlformats.org/markup-compatibility/2006">
          <mc:Choice Requires="x14">
            <control shapeId="49259" r:id="rId55" name="Check Box 3">
              <controlPr defaultSize="0" autoFill="0" autoLine="0" autoPict="0">
                <anchor moveWithCells="1">
                  <from>
                    <xdr:col>1</xdr:col>
                    <xdr:colOff>19050</xdr:colOff>
                    <xdr:row>19</xdr:row>
                    <xdr:rowOff>133350</xdr:rowOff>
                  </from>
                  <to>
                    <xdr:col>2</xdr:col>
                    <xdr:colOff>142875</xdr:colOff>
                    <xdr:row>21</xdr:row>
                    <xdr:rowOff>57150</xdr:rowOff>
                  </to>
                </anchor>
              </controlPr>
            </control>
          </mc:Choice>
        </mc:AlternateContent>
        <mc:AlternateContent xmlns:mc="http://schemas.openxmlformats.org/markup-compatibility/2006">
          <mc:Choice Requires="x14">
            <control shapeId="49261" r:id="rId56" name="Check Box 3">
              <controlPr defaultSize="0" autoFill="0" autoLine="0" autoPict="0">
                <anchor moveWithCells="1">
                  <from>
                    <xdr:col>1</xdr:col>
                    <xdr:colOff>19050</xdr:colOff>
                    <xdr:row>18</xdr:row>
                    <xdr:rowOff>133350</xdr:rowOff>
                  </from>
                  <to>
                    <xdr:col>2</xdr:col>
                    <xdr:colOff>95250</xdr:colOff>
                    <xdr:row>20</xdr:row>
                    <xdr:rowOff>19050</xdr:rowOff>
                  </to>
                </anchor>
              </controlPr>
            </control>
          </mc:Choice>
        </mc:AlternateContent>
        <mc:AlternateContent xmlns:mc="http://schemas.openxmlformats.org/markup-compatibility/2006">
          <mc:Choice Requires="x14">
            <control shapeId="49262" r:id="rId57" name="Check Box 3">
              <controlPr defaultSize="0" autoFill="0" autoLine="0" autoPict="0">
                <anchor moveWithCells="1">
                  <from>
                    <xdr:col>1</xdr:col>
                    <xdr:colOff>19050</xdr:colOff>
                    <xdr:row>15</xdr:row>
                    <xdr:rowOff>133350</xdr:rowOff>
                  </from>
                  <to>
                    <xdr:col>2</xdr:col>
                    <xdr:colOff>95250</xdr:colOff>
                    <xdr:row>17</xdr:row>
                    <xdr:rowOff>28575</xdr:rowOff>
                  </to>
                </anchor>
              </controlPr>
            </control>
          </mc:Choice>
        </mc:AlternateContent>
        <mc:AlternateContent xmlns:mc="http://schemas.openxmlformats.org/markup-compatibility/2006">
          <mc:Choice Requires="x14">
            <control shapeId="49263" r:id="rId58" name="Check Box 3">
              <controlPr defaultSize="0" autoFill="0" autoLine="0" autoPict="0">
                <anchor moveWithCells="1">
                  <from>
                    <xdr:col>1</xdr:col>
                    <xdr:colOff>19050</xdr:colOff>
                    <xdr:row>16</xdr:row>
                    <xdr:rowOff>133350</xdr:rowOff>
                  </from>
                  <to>
                    <xdr:col>2</xdr:col>
                    <xdr:colOff>104775</xdr:colOff>
                    <xdr:row>18</xdr:row>
                    <xdr:rowOff>28575</xdr:rowOff>
                  </to>
                </anchor>
              </controlPr>
            </control>
          </mc:Choice>
        </mc:AlternateContent>
        <mc:AlternateContent xmlns:mc="http://schemas.openxmlformats.org/markup-compatibility/2006">
          <mc:Choice Requires="x14">
            <control shapeId="49264" r:id="rId59" name="Check Box 3">
              <controlPr defaultSize="0" autoFill="0" autoLine="0" autoPict="0">
                <anchor moveWithCells="1">
                  <from>
                    <xdr:col>1</xdr:col>
                    <xdr:colOff>19050</xdr:colOff>
                    <xdr:row>22</xdr:row>
                    <xdr:rowOff>142875</xdr:rowOff>
                  </from>
                  <to>
                    <xdr:col>2</xdr:col>
                    <xdr:colOff>104775</xdr:colOff>
                    <xdr:row>24</xdr:row>
                    <xdr:rowOff>38100</xdr:rowOff>
                  </to>
                </anchor>
              </controlPr>
            </control>
          </mc:Choice>
        </mc:AlternateContent>
        <mc:AlternateContent xmlns:mc="http://schemas.openxmlformats.org/markup-compatibility/2006">
          <mc:Choice Requires="x14">
            <control shapeId="49266" r:id="rId60" name="Check Box 3">
              <controlPr defaultSize="0" autoFill="0" autoLine="0" autoPict="0">
                <anchor moveWithCells="1">
                  <from>
                    <xdr:col>1</xdr:col>
                    <xdr:colOff>19050</xdr:colOff>
                    <xdr:row>23</xdr:row>
                    <xdr:rowOff>133350</xdr:rowOff>
                  </from>
                  <to>
                    <xdr:col>2</xdr:col>
                    <xdr:colOff>104775</xdr:colOff>
                    <xdr:row>25</xdr:row>
                    <xdr:rowOff>28575</xdr:rowOff>
                  </to>
                </anchor>
              </controlPr>
            </control>
          </mc:Choice>
        </mc:AlternateContent>
        <mc:AlternateContent xmlns:mc="http://schemas.openxmlformats.org/markup-compatibility/2006">
          <mc:Choice Requires="x14">
            <control shapeId="49267" r:id="rId61" name="Check Box 3">
              <controlPr defaultSize="0" autoFill="0" autoLine="0" autoPict="0">
                <anchor moveWithCells="1">
                  <from>
                    <xdr:col>1</xdr:col>
                    <xdr:colOff>19050</xdr:colOff>
                    <xdr:row>21</xdr:row>
                    <xdr:rowOff>133350</xdr:rowOff>
                  </from>
                  <to>
                    <xdr:col>2</xdr:col>
                    <xdr:colOff>114300</xdr:colOff>
                    <xdr:row>22</xdr:row>
                    <xdr:rowOff>171450</xdr:rowOff>
                  </to>
                </anchor>
              </controlPr>
            </control>
          </mc:Choice>
        </mc:AlternateContent>
        <mc:AlternateContent xmlns:mc="http://schemas.openxmlformats.org/markup-compatibility/2006">
          <mc:Choice Requires="x14">
            <control shapeId="49269" r:id="rId62" name="Check Box 3">
              <controlPr defaultSize="0" autoFill="0" autoLine="0" autoPict="0">
                <anchor moveWithCells="1">
                  <from>
                    <xdr:col>1</xdr:col>
                    <xdr:colOff>19050</xdr:colOff>
                    <xdr:row>20</xdr:row>
                    <xdr:rowOff>133350</xdr:rowOff>
                  </from>
                  <to>
                    <xdr:col>2</xdr:col>
                    <xdr:colOff>104775</xdr:colOff>
                    <xdr:row>22</xdr:row>
                    <xdr:rowOff>28575</xdr:rowOff>
                  </to>
                </anchor>
              </controlPr>
            </control>
          </mc:Choice>
        </mc:AlternateContent>
        <mc:AlternateContent xmlns:mc="http://schemas.openxmlformats.org/markup-compatibility/2006">
          <mc:Choice Requires="x14">
            <control shapeId="49270" r:id="rId63" name="Check Box 3">
              <controlPr defaultSize="0" autoFill="0" autoLine="0" autoPict="0">
                <anchor moveWithCells="1">
                  <from>
                    <xdr:col>3</xdr:col>
                    <xdr:colOff>19050</xdr:colOff>
                    <xdr:row>25</xdr:row>
                    <xdr:rowOff>133350</xdr:rowOff>
                  </from>
                  <to>
                    <xdr:col>3</xdr:col>
                    <xdr:colOff>333375</xdr:colOff>
                    <xdr:row>27</xdr:row>
                    <xdr:rowOff>57150</xdr:rowOff>
                  </to>
                </anchor>
              </controlPr>
            </control>
          </mc:Choice>
        </mc:AlternateContent>
        <mc:AlternateContent xmlns:mc="http://schemas.openxmlformats.org/markup-compatibility/2006">
          <mc:Choice Requires="x14">
            <control shapeId="49271" r:id="rId64" name="Check Box 3">
              <controlPr defaultSize="0" autoFill="0" autoLine="0" autoPict="0">
                <anchor moveWithCells="1">
                  <from>
                    <xdr:col>1</xdr:col>
                    <xdr:colOff>19050</xdr:colOff>
                    <xdr:row>24</xdr:row>
                    <xdr:rowOff>171450</xdr:rowOff>
                  </from>
                  <to>
                    <xdr:col>2</xdr:col>
                    <xdr:colOff>104775</xdr:colOff>
                    <xdr:row>26</xdr:row>
                    <xdr:rowOff>38100</xdr:rowOff>
                  </to>
                </anchor>
              </controlPr>
            </control>
          </mc:Choice>
        </mc:AlternateContent>
        <mc:AlternateContent xmlns:mc="http://schemas.openxmlformats.org/markup-compatibility/2006">
          <mc:Choice Requires="x14">
            <control shapeId="49272" r:id="rId65" name="Check Box 3">
              <controlPr defaultSize="0" autoFill="0" autoLine="0" autoPict="0">
                <anchor moveWithCells="1">
                  <from>
                    <xdr:col>1</xdr:col>
                    <xdr:colOff>0</xdr:colOff>
                    <xdr:row>29</xdr:row>
                    <xdr:rowOff>171450</xdr:rowOff>
                  </from>
                  <to>
                    <xdr:col>2</xdr:col>
                    <xdr:colOff>85725</xdr:colOff>
                    <xdr:row>31</xdr:row>
                    <xdr:rowOff>28575</xdr:rowOff>
                  </to>
                </anchor>
              </controlPr>
            </control>
          </mc:Choice>
        </mc:AlternateContent>
        <mc:AlternateContent xmlns:mc="http://schemas.openxmlformats.org/markup-compatibility/2006">
          <mc:Choice Requires="x14">
            <control shapeId="49273" r:id="rId66" name="Check Box 3">
              <controlPr defaultSize="0" autoFill="0" autoLine="0" autoPict="0">
                <anchor moveWithCells="1">
                  <from>
                    <xdr:col>1</xdr:col>
                    <xdr:colOff>9525</xdr:colOff>
                    <xdr:row>28</xdr:row>
                    <xdr:rowOff>161925</xdr:rowOff>
                  </from>
                  <to>
                    <xdr:col>2</xdr:col>
                    <xdr:colOff>95250</xdr:colOff>
                    <xdr:row>30</xdr:row>
                    <xdr:rowOff>28575</xdr:rowOff>
                  </to>
                </anchor>
              </controlPr>
            </control>
          </mc:Choice>
        </mc:AlternateContent>
        <mc:AlternateContent xmlns:mc="http://schemas.openxmlformats.org/markup-compatibility/2006">
          <mc:Choice Requires="x14">
            <control shapeId="49274" r:id="rId67" name="Check Box 3">
              <controlPr defaultSize="0" autoFill="0" autoLine="0" autoPict="0">
                <anchor moveWithCells="1">
                  <from>
                    <xdr:col>1</xdr:col>
                    <xdr:colOff>0</xdr:colOff>
                    <xdr:row>25</xdr:row>
                    <xdr:rowOff>171450</xdr:rowOff>
                  </from>
                  <to>
                    <xdr:col>2</xdr:col>
                    <xdr:colOff>95250</xdr:colOff>
                    <xdr:row>27</xdr:row>
                    <xdr:rowOff>19050</xdr:rowOff>
                  </to>
                </anchor>
              </controlPr>
            </control>
          </mc:Choice>
        </mc:AlternateContent>
        <mc:AlternateContent xmlns:mc="http://schemas.openxmlformats.org/markup-compatibility/2006">
          <mc:Choice Requires="x14">
            <control shapeId="49275" r:id="rId68" name="Check Box 3">
              <controlPr defaultSize="0" autoFill="0" autoLine="0" autoPict="0">
                <anchor moveWithCells="1">
                  <from>
                    <xdr:col>1</xdr:col>
                    <xdr:colOff>9525</xdr:colOff>
                    <xdr:row>27</xdr:row>
                    <xdr:rowOff>0</xdr:rowOff>
                  </from>
                  <to>
                    <xdr:col>2</xdr:col>
                    <xdr:colOff>95250</xdr:colOff>
                    <xdr:row>28</xdr:row>
                    <xdr:rowOff>85725</xdr:rowOff>
                  </to>
                </anchor>
              </controlPr>
            </control>
          </mc:Choice>
        </mc:AlternateContent>
        <mc:AlternateContent xmlns:mc="http://schemas.openxmlformats.org/markup-compatibility/2006">
          <mc:Choice Requires="x14">
            <control shapeId="49276" r:id="rId69" name="Check Box 3">
              <controlPr defaultSize="0" autoFill="0" autoLine="0" autoPict="0">
                <anchor moveWithCells="1">
                  <from>
                    <xdr:col>1</xdr:col>
                    <xdr:colOff>19050</xdr:colOff>
                    <xdr:row>27</xdr:row>
                    <xdr:rowOff>171450</xdr:rowOff>
                  </from>
                  <to>
                    <xdr:col>2</xdr:col>
                    <xdr:colOff>95250</xdr:colOff>
                    <xdr:row>29</xdr:row>
                    <xdr:rowOff>28575</xdr:rowOff>
                  </to>
                </anchor>
              </controlPr>
            </control>
          </mc:Choice>
        </mc:AlternateContent>
        <mc:AlternateContent xmlns:mc="http://schemas.openxmlformats.org/markup-compatibility/2006">
          <mc:Choice Requires="x14">
            <control shapeId="49277" r:id="rId70" name="Check Box 3">
              <controlPr defaultSize="0" autoFill="0" autoLine="0" autoPict="0">
                <anchor moveWithCells="1">
                  <from>
                    <xdr:col>1</xdr:col>
                    <xdr:colOff>9525</xdr:colOff>
                    <xdr:row>30</xdr:row>
                    <xdr:rowOff>161925</xdr:rowOff>
                  </from>
                  <to>
                    <xdr:col>2</xdr:col>
                    <xdr:colOff>95250</xdr:colOff>
                    <xdr:row>32</xdr:row>
                    <xdr:rowOff>19050</xdr:rowOff>
                  </to>
                </anchor>
              </controlPr>
            </control>
          </mc:Choice>
        </mc:AlternateContent>
        <mc:AlternateContent xmlns:mc="http://schemas.openxmlformats.org/markup-compatibility/2006">
          <mc:Choice Requires="x14">
            <control shapeId="49278" r:id="rId71" name="Check Box 3">
              <controlPr defaultSize="0" autoFill="0" autoLine="0" autoPict="0">
                <anchor moveWithCells="1">
                  <from>
                    <xdr:col>1</xdr:col>
                    <xdr:colOff>9525</xdr:colOff>
                    <xdr:row>31</xdr:row>
                    <xdr:rowOff>171450</xdr:rowOff>
                  </from>
                  <to>
                    <xdr:col>2</xdr:col>
                    <xdr:colOff>95250</xdr:colOff>
                    <xdr:row>33</xdr:row>
                    <xdr:rowOff>19050</xdr:rowOff>
                  </to>
                </anchor>
              </controlPr>
            </control>
          </mc:Choice>
        </mc:AlternateContent>
        <mc:AlternateContent xmlns:mc="http://schemas.openxmlformats.org/markup-compatibility/2006">
          <mc:Choice Requires="x14">
            <control shapeId="49279" r:id="rId72" name="Check Box 3">
              <controlPr defaultSize="0" autoFill="0" autoLine="0" autoPict="0">
                <anchor moveWithCells="1">
                  <from>
                    <xdr:col>1</xdr:col>
                    <xdr:colOff>9525</xdr:colOff>
                    <xdr:row>33</xdr:row>
                    <xdr:rowOff>171450</xdr:rowOff>
                  </from>
                  <to>
                    <xdr:col>2</xdr:col>
                    <xdr:colOff>95250</xdr:colOff>
                    <xdr:row>35</xdr:row>
                    <xdr:rowOff>28575</xdr:rowOff>
                  </to>
                </anchor>
              </controlPr>
            </control>
          </mc:Choice>
        </mc:AlternateContent>
        <mc:AlternateContent xmlns:mc="http://schemas.openxmlformats.org/markup-compatibility/2006">
          <mc:Choice Requires="x14">
            <control shapeId="49280" r:id="rId73" name="Check Box 3">
              <controlPr defaultSize="0" autoFill="0" autoLine="0" autoPict="0">
                <anchor moveWithCells="1">
                  <from>
                    <xdr:col>1</xdr:col>
                    <xdr:colOff>19050</xdr:colOff>
                    <xdr:row>32</xdr:row>
                    <xdr:rowOff>171450</xdr:rowOff>
                  </from>
                  <to>
                    <xdr:col>2</xdr:col>
                    <xdr:colOff>95250</xdr:colOff>
                    <xdr:row>34</xdr:row>
                    <xdr:rowOff>19050</xdr:rowOff>
                  </to>
                </anchor>
              </controlPr>
            </control>
          </mc:Choice>
        </mc:AlternateContent>
        <mc:AlternateContent xmlns:mc="http://schemas.openxmlformats.org/markup-compatibility/2006">
          <mc:Choice Requires="x14">
            <control shapeId="49281" r:id="rId74" name="Check Box 3">
              <controlPr defaultSize="0" autoFill="0" autoLine="0" autoPict="0">
                <anchor moveWithCells="1">
                  <from>
                    <xdr:col>1</xdr:col>
                    <xdr:colOff>9525</xdr:colOff>
                    <xdr:row>35</xdr:row>
                    <xdr:rowOff>0</xdr:rowOff>
                  </from>
                  <to>
                    <xdr:col>2</xdr:col>
                    <xdr:colOff>95250</xdr:colOff>
                    <xdr:row>36</xdr:row>
                    <xdr:rowOff>38100</xdr:rowOff>
                  </to>
                </anchor>
              </controlPr>
            </control>
          </mc:Choice>
        </mc:AlternateContent>
        <mc:AlternateContent xmlns:mc="http://schemas.openxmlformats.org/markup-compatibility/2006">
          <mc:Choice Requires="x14">
            <control shapeId="49282" r:id="rId75" name="Check Box 3">
              <controlPr defaultSize="0" autoFill="0" autoLine="0" autoPict="0">
                <anchor moveWithCells="1">
                  <from>
                    <xdr:col>1</xdr:col>
                    <xdr:colOff>19050</xdr:colOff>
                    <xdr:row>36</xdr:row>
                    <xdr:rowOff>19050</xdr:rowOff>
                  </from>
                  <to>
                    <xdr:col>2</xdr:col>
                    <xdr:colOff>95250</xdr:colOff>
                    <xdr:row>37</xdr:row>
                    <xdr:rowOff>57150</xdr:rowOff>
                  </to>
                </anchor>
              </controlPr>
            </control>
          </mc:Choice>
        </mc:AlternateContent>
        <mc:AlternateContent xmlns:mc="http://schemas.openxmlformats.org/markup-compatibility/2006">
          <mc:Choice Requires="x14">
            <control shapeId="49283" r:id="rId76" name="Check Box 3">
              <controlPr defaultSize="0" autoFill="0" autoLine="0" autoPict="0">
                <anchor moveWithCells="1">
                  <from>
                    <xdr:col>1</xdr:col>
                    <xdr:colOff>19050</xdr:colOff>
                    <xdr:row>37</xdr:row>
                    <xdr:rowOff>0</xdr:rowOff>
                  </from>
                  <to>
                    <xdr:col>2</xdr:col>
                    <xdr:colOff>95250</xdr:colOff>
                    <xdr:row>38</xdr:row>
                    <xdr:rowOff>38100</xdr:rowOff>
                  </to>
                </anchor>
              </controlPr>
            </control>
          </mc:Choice>
        </mc:AlternateContent>
        <mc:AlternateContent xmlns:mc="http://schemas.openxmlformats.org/markup-compatibility/2006">
          <mc:Choice Requires="x14">
            <control shapeId="49284" r:id="rId77" name="Check Box 3">
              <controlPr defaultSize="0" autoFill="0" autoLine="0" autoPict="0">
                <anchor moveWithCells="1">
                  <from>
                    <xdr:col>1</xdr:col>
                    <xdr:colOff>19050</xdr:colOff>
                    <xdr:row>37</xdr:row>
                    <xdr:rowOff>171450</xdr:rowOff>
                  </from>
                  <to>
                    <xdr:col>2</xdr:col>
                    <xdr:colOff>95250</xdr:colOff>
                    <xdr:row>39</xdr:row>
                    <xdr:rowOff>19050</xdr:rowOff>
                  </to>
                </anchor>
              </controlPr>
            </control>
          </mc:Choice>
        </mc:AlternateContent>
        <mc:AlternateContent xmlns:mc="http://schemas.openxmlformats.org/markup-compatibility/2006">
          <mc:Choice Requires="x14">
            <control shapeId="49285" r:id="rId78" name="Check Box 3">
              <controlPr defaultSize="0" autoFill="0" autoLine="0" autoPict="0">
                <anchor moveWithCells="1">
                  <from>
                    <xdr:col>1</xdr:col>
                    <xdr:colOff>19050</xdr:colOff>
                    <xdr:row>38</xdr:row>
                    <xdr:rowOff>133350</xdr:rowOff>
                  </from>
                  <to>
                    <xdr:col>2</xdr:col>
                    <xdr:colOff>95250</xdr:colOff>
                    <xdr:row>39</xdr:row>
                    <xdr:rowOff>171450</xdr:rowOff>
                  </to>
                </anchor>
              </controlPr>
            </control>
          </mc:Choice>
        </mc:AlternateContent>
        <mc:AlternateContent xmlns:mc="http://schemas.openxmlformats.org/markup-compatibility/2006">
          <mc:Choice Requires="x14">
            <control shapeId="49286" r:id="rId79" name="Check Box 3">
              <controlPr defaultSize="0" autoFill="0" autoLine="0" autoPict="0">
                <anchor moveWithCells="1">
                  <from>
                    <xdr:col>1</xdr:col>
                    <xdr:colOff>9525</xdr:colOff>
                    <xdr:row>39</xdr:row>
                    <xdr:rowOff>171450</xdr:rowOff>
                  </from>
                  <to>
                    <xdr:col>2</xdr:col>
                    <xdr:colOff>76200</xdr:colOff>
                    <xdr:row>41</xdr:row>
                    <xdr:rowOff>0</xdr:rowOff>
                  </to>
                </anchor>
              </controlPr>
            </control>
          </mc:Choice>
        </mc:AlternateContent>
        <mc:AlternateContent xmlns:mc="http://schemas.openxmlformats.org/markup-compatibility/2006">
          <mc:Choice Requires="x14">
            <control shapeId="49287" r:id="rId80" name="Check Box 3">
              <controlPr defaultSize="0" autoFill="0" autoLine="0" autoPict="0">
                <anchor moveWithCells="1">
                  <from>
                    <xdr:col>1</xdr:col>
                    <xdr:colOff>19050</xdr:colOff>
                    <xdr:row>41</xdr:row>
                    <xdr:rowOff>0</xdr:rowOff>
                  </from>
                  <to>
                    <xdr:col>2</xdr:col>
                    <xdr:colOff>85725</xdr:colOff>
                    <xdr:row>42</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V49"/>
  <sheetViews>
    <sheetView showGridLines="0" showZeros="0" zoomScaleNormal="100" workbookViewId="0">
      <selection activeCell="Q20" sqref="Q20"/>
    </sheetView>
  </sheetViews>
  <sheetFormatPr baseColWidth="10" defaultColWidth="11.42578125" defaultRowHeight="12.75" x14ac:dyDescent="0.2"/>
  <cols>
    <col min="1" max="1" width="5.5703125" style="474" customWidth="1"/>
    <col min="2" max="2" width="6.7109375" style="474" customWidth="1"/>
    <col min="3" max="10" width="7.7109375" style="474" customWidth="1"/>
    <col min="11" max="11" width="10" style="474" customWidth="1"/>
    <col min="12" max="12" width="12.28515625" style="474" customWidth="1"/>
    <col min="13" max="13" width="11.42578125" style="474" customWidth="1"/>
    <col min="14" max="14" width="6.28515625" style="474" customWidth="1"/>
    <col min="15" max="15" width="3.7109375" style="474" customWidth="1"/>
    <col min="16" max="16" width="10.7109375" style="474" customWidth="1"/>
    <col min="17" max="16384" width="11.42578125" style="474"/>
  </cols>
  <sheetData>
    <row r="1" spans="1:22" s="367" customFormat="1" ht="18" customHeight="1" x14ac:dyDescent="0.25">
      <c r="A1" s="570" t="s">
        <v>582</v>
      </c>
      <c r="B1" s="507"/>
      <c r="C1" s="570"/>
      <c r="D1" s="570"/>
      <c r="E1" s="570"/>
      <c r="F1" s="570"/>
      <c r="G1" s="570"/>
      <c r="H1" s="570"/>
      <c r="I1" s="566"/>
      <c r="J1" s="339"/>
      <c r="K1" s="339"/>
      <c r="L1" s="336"/>
    </row>
    <row r="2" spans="1:22" s="331" customFormat="1" ht="15.6" customHeight="1" x14ac:dyDescent="0.25">
      <c r="A2" s="849" t="s">
        <v>1</v>
      </c>
      <c r="B2" s="795"/>
      <c r="C2" s="795"/>
      <c r="D2" s="929">
        <f>Formalien!$E$3</f>
      </c>
      <c r="E2" s="795"/>
      <c r="F2" s="795"/>
      <c r="G2" s="795"/>
      <c r="K2" s="364" t="s">
        <v>519</v>
      </c>
      <c r="L2" s="619">
        <f>Formalien!$E$4</f>
      </c>
    </row>
    <row r="3" spans="1:22" s="331" customFormat="1" ht="15.6" customHeight="1" x14ac:dyDescent="0.25">
      <c r="A3" s="364" t="s">
        <v>65</v>
      </c>
      <c r="B3" s="371"/>
      <c r="C3" s="371"/>
      <c r="D3" s="371"/>
      <c r="E3" s="537">
        <f>Formalien!$E$16</f>
      </c>
      <c r="F3" s="927" t="s">
        <v>557</v>
      </c>
      <c r="G3" s="928"/>
      <c r="H3" s="928"/>
      <c r="I3" s="928"/>
      <c r="J3" s="617">
        <f>(E3-24)/100*6</f>
      </c>
      <c r="K3" s="338" t="s">
        <v>79</v>
      </c>
    </row>
    <row r="4" spans="1:22" s="331" customFormat="1" ht="15.6" customHeight="1" x14ac:dyDescent="0.25">
      <c r="A4" s="364" t="s">
        <v>0</v>
      </c>
      <c r="B4" s="371"/>
      <c r="C4" s="371"/>
      <c r="D4" s="371"/>
      <c r="E4" s="930">
        <f>Formalien!$E$6</f>
      </c>
      <c r="F4" s="930"/>
      <c r="G4" s="930"/>
      <c r="H4" s="930"/>
      <c r="I4" s="872"/>
    </row>
    <row r="5" spans="1:22" s="331" customFormat="1" ht="15.6" customHeight="1" thickBot="1" x14ac:dyDescent="0.3">
      <c r="A5" s="487"/>
      <c r="B5" s="488"/>
      <c r="C5" s="488"/>
      <c r="D5" s="488"/>
      <c r="E5" s="488"/>
      <c r="F5" s="488"/>
      <c r="G5" s="488"/>
      <c r="H5" s="488"/>
      <c r="I5" s="334"/>
      <c r="J5" s="489"/>
      <c r="K5" s="489"/>
      <c r="L5" s="489"/>
    </row>
    <row r="6" spans="1:22" s="331" customFormat="1" ht="15.6" customHeight="1" x14ac:dyDescent="0.25">
      <c r="A6" s="950"/>
      <c r="B6" s="951"/>
      <c r="C6" s="951"/>
      <c r="D6" s="951"/>
      <c r="E6" s="951"/>
      <c r="F6" s="951"/>
      <c r="G6" s="951"/>
      <c r="H6" s="951"/>
      <c r="I6" s="951"/>
      <c r="J6" s="951"/>
      <c r="K6" s="951"/>
      <c r="L6" s="951"/>
    </row>
    <row r="7" spans="1:22" s="331" customFormat="1" ht="15.6" customHeight="1" thickBot="1" x14ac:dyDescent="0.3">
      <c r="A7" s="948" t="s">
        <v>558</v>
      </c>
      <c r="B7" s="949"/>
      <c r="C7" s="949"/>
      <c r="D7" s="949"/>
      <c r="E7" s="949"/>
      <c r="F7" s="949"/>
      <c r="G7" s="949"/>
      <c r="H7" s="949"/>
      <c r="I7" s="949"/>
      <c r="J7" s="949"/>
      <c r="K7" s="949"/>
      <c r="L7" s="949"/>
    </row>
    <row r="8" spans="1:22" s="331" customFormat="1" ht="15.6" customHeight="1" x14ac:dyDescent="0.2">
      <c r="A8" s="939"/>
      <c r="B8" s="940"/>
      <c r="C8" s="940"/>
      <c r="D8" s="940"/>
      <c r="E8" s="940"/>
      <c r="F8" s="940"/>
      <c r="G8" s="940"/>
      <c r="H8" s="940"/>
      <c r="I8" s="940"/>
      <c r="J8" s="940"/>
      <c r="K8" s="940"/>
      <c r="L8" s="941"/>
    </row>
    <row r="9" spans="1:22" s="331" customFormat="1" ht="15.6" customHeight="1" x14ac:dyDescent="0.2">
      <c r="A9" s="942"/>
      <c r="B9" s="943"/>
      <c r="C9" s="943"/>
      <c r="D9" s="943"/>
      <c r="E9" s="943"/>
      <c r="F9" s="943"/>
      <c r="G9" s="943"/>
      <c r="H9" s="943"/>
      <c r="I9" s="943"/>
      <c r="J9" s="943"/>
      <c r="K9" s="943"/>
      <c r="L9" s="944"/>
    </row>
    <row r="10" spans="1:22" s="331" customFormat="1" ht="15.6" customHeight="1" x14ac:dyDescent="0.2">
      <c r="A10" s="942"/>
      <c r="B10" s="943"/>
      <c r="C10" s="943"/>
      <c r="D10" s="943"/>
      <c r="E10" s="943"/>
      <c r="F10" s="943"/>
      <c r="G10" s="943"/>
      <c r="H10" s="943"/>
      <c r="I10" s="943"/>
      <c r="J10" s="943"/>
      <c r="K10" s="943"/>
      <c r="L10" s="944"/>
    </row>
    <row r="11" spans="1:22" s="331" customFormat="1" ht="15.6" customHeight="1" thickBot="1" x14ac:dyDescent="0.25">
      <c r="A11" s="945"/>
      <c r="B11" s="946"/>
      <c r="C11" s="946"/>
      <c r="D11" s="946"/>
      <c r="E11" s="946"/>
      <c r="F11" s="946"/>
      <c r="G11" s="946"/>
      <c r="H11" s="946"/>
      <c r="I11" s="946"/>
      <c r="J11" s="946"/>
      <c r="K11" s="946"/>
      <c r="L11" s="947"/>
    </row>
    <row r="12" spans="1:22" s="331" customFormat="1" ht="15.6" customHeight="1" thickBot="1" x14ac:dyDescent="0.3">
      <c r="A12" s="364"/>
      <c r="B12" s="371"/>
      <c r="C12" s="371"/>
      <c r="D12" s="371"/>
      <c r="E12" s="371"/>
      <c r="F12" s="371"/>
      <c r="G12" s="371"/>
      <c r="H12" s="371"/>
      <c r="I12" s="336"/>
      <c r="J12" s="344"/>
      <c r="K12" s="344"/>
      <c r="L12" s="344"/>
    </row>
    <row r="13" spans="1:22" s="335" customFormat="1" ht="16.899999999999999" customHeight="1" x14ac:dyDescent="0.25">
      <c r="A13" s="931" t="s">
        <v>60</v>
      </c>
      <c r="B13" s="933" t="s">
        <v>64</v>
      </c>
      <c r="C13" s="935" t="s">
        <v>529</v>
      </c>
      <c r="D13" s="935"/>
      <c r="E13" s="935"/>
      <c r="F13" s="935"/>
      <c r="G13" s="935"/>
      <c r="H13" s="935"/>
      <c r="I13" s="935"/>
      <c r="J13" s="935"/>
      <c r="K13" s="937" t="s">
        <v>59</v>
      </c>
      <c r="L13" s="938"/>
    </row>
    <row r="14" spans="1:22" s="335" customFormat="1" ht="16.899999999999999" customHeight="1" thickBot="1" x14ac:dyDescent="0.3">
      <c r="A14" s="932"/>
      <c r="B14" s="934"/>
      <c r="C14" s="936"/>
      <c r="D14" s="936"/>
      <c r="E14" s="936"/>
      <c r="F14" s="936"/>
      <c r="G14" s="936"/>
      <c r="H14" s="936"/>
      <c r="I14" s="936"/>
      <c r="J14" s="936"/>
      <c r="K14" s="561" t="s">
        <v>433</v>
      </c>
      <c r="L14" s="562" t="s">
        <v>456</v>
      </c>
    </row>
    <row r="15" spans="1:22" s="367" customFormat="1" ht="18" customHeight="1" x14ac:dyDescent="0.25">
      <c r="A15" s="581"/>
      <c r="B15" s="579"/>
      <c r="C15" s="955"/>
      <c r="D15" s="955"/>
      <c r="E15" s="955"/>
      <c r="F15" s="955"/>
      <c r="G15" s="955"/>
      <c r="H15" s="955"/>
      <c r="I15" s="955"/>
      <c r="J15" s="955"/>
      <c r="K15" s="667"/>
      <c r="L15" s="668">
        <f t="shared" ref="L15:L45" si="0">ROUND(A15*K15,2)</f>
      </c>
      <c r="Q15" s="469"/>
      <c r="R15" s="470"/>
      <c r="S15" s="470"/>
      <c r="T15" s="470"/>
      <c r="U15" s="471"/>
      <c r="V15" s="471"/>
    </row>
    <row r="16" spans="1:22" s="367" customFormat="1" ht="18" customHeight="1" x14ac:dyDescent="0.25">
      <c r="A16" s="582"/>
      <c r="B16" s="574"/>
      <c r="C16" s="920"/>
      <c r="D16" s="920"/>
      <c r="E16" s="920"/>
      <c r="F16" s="920"/>
      <c r="G16" s="920"/>
      <c r="H16" s="920"/>
      <c r="I16" s="920"/>
      <c r="J16" s="920"/>
      <c r="K16" s="669"/>
      <c r="L16" s="670">
        <f t="shared" si="0"/>
      </c>
      <c r="Q16" s="469"/>
      <c r="R16" s="470"/>
      <c r="S16" s="470"/>
      <c r="T16" s="470"/>
      <c r="U16" s="472"/>
      <c r="V16" s="472"/>
    </row>
    <row r="17" spans="1:22" s="367" customFormat="1" ht="18" customHeight="1" x14ac:dyDescent="0.25">
      <c r="A17" s="582"/>
      <c r="B17" s="574"/>
      <c r="C17" s="920"/>
      <c r="D17" s="920"/>
      <c r="E17" s="920"/>
      <c r="F17" s="920"/>
      <c r="G17" s="920"/>
      <c r="H17" s="920"/>
      <c r="I17" s="920"/>
      <c r="J17" s="920"/>
      <c r="K17" s="669"/>
      <c r="L17" s="670">
        <f t="shared" si="0"/>
      </c>
      <c r="Q17" s="469"/>
      <c r="R17" s="469"/>
      <c r="T17" s="472"/>
      <c r="U17" s="472"/>
      <c r="V17" s="472"/>
    </row>
    <row r="18" spans="1:22" s="367" customFormat="1" ht="18" customHeight="1" x14ac:dyDescent="0.25">
      <c r="A18" s="582"/>
      <c r="B18" s="574"/>
      <c r="C18" s="920"/>
      <c r="D18" s="920"/>
      <c r="E18" s="920"/>
      <c r="F18" s="920"/>
      <c r="G18" s="920"/>
      <c r="H18" s="920"/>
      <c r="I18" s="920"/>
      <c r="J18" s="920"/>
      <c r="K18" s="669"/>
      <c r="L18" s="670">
        <f t="shared" si="0"/>
      </c>
      <c r="T18" s="472"/>
      <c r="U18" s="472"/>
      <c r="V18" s="472"/>
    </row>
    <row r="19" spans="1:22" s="367" customFormat="1" ht="18" customHeight="1" x14ac:dyDescent="0.25">
      <c r="A19" s="582"/>
      <c r="B19" s="575"/>
      <c r="C19" s="920"/>
      <c r="D19" s="920"/>
      <c r="E19" s="920"/>
      <c r="F19" s="920"/>
      <c r="G19" s="920"/>
      <c r="H19" s="920"/>
      <c r="I19" s="920"/>
      <c r="J19" s="920"/>
      <c r="K19" s="669"/>
      <c r="L19" s="670">
        <f t="shared" si="0"/>
      </c>
    </row>
    <row r="20" spans="1:22" s="367" customFormat="1" ht="18" customHeight="1" x14ac:dyDescent="0.25">
      <c r="A20" s="582"/>
      <c r="B20" s="575"/>
      <c r="C20" s="920"/>
      <c r="D20" s="920"/>
      <c r="E20" s="920"/>
      <c r="F20" s="920"/>
      <c r="G20" s="920"/>
      <c r="H20" s="920"/>
      <c r="I20" s="920"/>
      <c r="J20" s="920"/>
      <c r="K20" s="669"/>
      <c r="L20" s="670">
        <f t="shared" si="0"/>
      </c>
    </row>
    <row r="21" spans="1:22" s="367" customFormat="1" ht="18" customHeight="1" x14ac:dyDescent="0.25">
      <c r="A21" s="582"/>
      <c r="B21" s="575"/>
      <c r="C21" s="920"/>
      <c r="D21" s="920"/>
      <c r="E21" s="920"/>
      <c r="F21" s="920"/>
      <c r="G21" s="920"/>
      <c r="H21" s="920"/>
      <c r="I21" s="920"/>
      <c r="J21" s="920"/>
      <c r="K21" s="669"/>
      <c r="L21" s="670">
        <f t="shared" si="0"/>
      </c>
    </row>
    <row r="22" spans="1:22" s="367" customFormat="1" ht="18" customHeight="1" x14ac:dyDescent="0.25">
      <c r="A22" s="582"/>
      <c r="B22" s="575"/>
      <c r="C22" s="920"/>
      <c r="D22" s="920"/>
      <c r="E22" s="920"/>
      <c r="F22" s="920"/>
      <c r="G22" s="920"/>
      <c r="H22" s="920"/>
      <c r="I22" s="920"/>
      <c r="J22" s="920"/>
      <c r="K22" s="669"/>
      <c r="L22" s="670">
        <f t="shared" si="0"/>
      </c>
    </row>
    <row r="23" spans="1:22" s="473" customFormat="1" ht="18" customHeight="1" x14ac:dyDescent="0.25">
      <c r="A23" s="582"/>
      <c r="B23" s="574"/>
      <c r="C23" s="920"/>
      <c r="D23" s="920"/>
      <c r="E23" s="920"/>
      <c r="F23" s="920"/>
      <c r="G23" s="920"/>
      <c r="H23" s="920"/>
      <c r="I23" s="920"/>
      <c r="J23" s="920"/>
      <c r="K23" s="669"/>
      <c r="L23" s="670">
        <f t="shared" si="0"/>
      </c>
      <c r="O23" s="367"/>
    </row>
    <row r="24" spans="1:22" ht="18" customHeight="1" x14ac:dyDescent="0.25">
      <c r="A24" s="582"/>
      <c r="B24" s="574"/>
      <c r="C24" s="920"/>
      <c r="D24" s="920"/>
      <c r="E24" s="920"/>
      <c r="F24" s="920"/>
      <c r="G24" s="920"/>
      <c r="H24" s="920"/>
      <c r="I24" s="920"/>
      <c r="J24" s="920"/>
      <c r="K24" s="669"/>
      <c r="L24" s="670">
        <f t="shared" si="0"/>
      </c>
      <c r="O24" s="367"/>
    </row>
    <row r="25" spans="1:22" s="367" customFormat="1" ht="18" customHeight="1" x14ac:dyDescent="0.25">
      <c r="A25" s="582"/>
      <c r="B25" s="574"/>
      <c r="C25" s="920"/>
      <c r="D25" s="920"/>
      <c r="E25" s="920"/>
      <c r="F25" s="920"/>
      <c r="G25" s="920"/>
      <c r="H25" s="920"/>
      <c r="I25" s="920"/>
      <c r="J25" s="920"/>
      <c r="K25" s="669"/>
      <c r="L25" s="670">
        <f t="shared" si="0"/>
      </c>
    </row>
    <row r="26" spans="1:22" s="367" customFormat="1" ht="18" customHeight="1" x14ac:dyDescent="0.25">
      <c r="A26" s="582"/>
      <c r="B26" s="574"/>
      <c r="C26" s="920"/>
      <c r="D26" s="920"/>
      <c r="E26" s="920"/>
      <c r="F26" s="920"/>
      <c r="G26" s="920"/>
      <c r="H26" s="920"/>
      <c r="I26" s="920"/>
      <c r="J26" s="920"/>
      <c r="K26" s="669"/>
      <c r="L26" s="670">
        <f t="shared" si="0"/>
      </c>
    </row>
    <row r="27" spans="1:22" s="367" customFormat="1" ht="18" customHeight="1" x14ac:dyDescent="0.25">
      <c r="A27" s="582"/>
      <c r="B27" s="574"/>
      <c r="C27" s="920"/>
      <c r="D27" s="920"/>
      <c r="E27" s="920"/>
      <c r="F27" s="920"/>
      <c r="G27" s="920"/>
      <c r="H27" s="920"/>
      <c r="I27" s="920"/>
      <c r="J27" s="920"/>
      <c r="K27" s="669"/>
      <c r="L27" s="670">
        <f t="shared" si="0"/>
      </c>
    </row>
    <row r="28" spans="1:22" s="367" customFormat="1" ht="18" customHeight="1" x14ac:dyDescent="0.25">
      <c r="A28" s="582"/>
      <c r="B28" s="574"/>
      <c r="C28" s="920"/>
      <c r="D28" s="920"/>
      <c r="E28" s="920"/>
      <c r="F28" s="920"/>
      <c r="G28" s="920"/>
      <c r="H28" s="920"/>
      <c r="I28" s="920"/>
      <c r="J28" s="920"/>
      <c r="K28" s="669"/>
      <c r="L28" s="670">
        <f t="shared" si="0"/>
      </c>
    </row>
    <row r="29" spans="1:22" s="475" customFormat="1" ht="18" customHeight="1" x14ac:dyDescent="0.25">
      <c r="A29" s="582"/>
      <c r="B29" s="574"/>
      <c r="C29" s="920"/>
      <c r="D29" s="920"/>
      <c r="E29" s="920"/>
      <c r="F29" s="920"/>
      <c r="G29" s="920"/>
      <c r="H29" s="920"/>
      <c r="I29" s="920"/>
      <c r="J29" s="920"/>
      <c r="K29" s="669"/>
      <c r="L29" s="670">
        <f t="shared" si="0"/>
      </c>
      <c r="O29" s="367"/>
    </row>
    <row r="30" spans="1:22" s="367" customFormat="1" ht="18" customHeight="1" x14ac:dyDescent="0.25">
      <c r="A30" s="582"/>
      <c r="B30" s="574"/>
      <c r="C30" s="920"/>
      <c r="D30" s="920"/>
      <c r="E30" s="920"/>
      <c r="F30" s="920"/>
      <c r="G30" s="920"/>
      <c r="H30" s="920"/>
      <c r="I30" s="920"/>
      <c r="J30" s="920"/>
      <c r="K30" s="669"/>
      <c r="L30" s="670">
        <f t="shared" si="0"/>
      </c>
    </row>
    <row r="31" spans="1:22" s="367" customFormat="1" ht="18" customHeight="1" x14ac:dyDescent="0.25">
      <c r="A31" s="582"/>
      <c r="B31" s="574"/>
      <c r="C31" s="920"/>
      <c r="D31" s="920"/>
      <c r="E31" s="920"/>
      <c r="F31" s="920"/>
      <c r="G31" s="920"/>
      <c r="H31" s="920"/>
      <c r="I31" s="920"/>
      <c r="J31" s="920"/>
      <c r="K31" s="669"/>
      <c r="L31" s="670">
        <f t="shared" si="0"/>
      </c>
    </row>
    <row r="32" spans="1:22" ht="18" customHeight="1" x14ac:dyDescent="0.25">
      <c r="A32" s="582"/>
      <c r="B32" s="574"/>
      <c r="C32" s="920"/>
      <c r="D32" s="920"/>
      <c r="E32" s="920"/>
      <c r="F32" s="920"/>
      <c r="G32" s="920"/>
      <c r="H32" s="920"/>
      <c r="I32" s="920"/>
      <c r="J32" s="920"/>
      <c r="K32" s="669"/>
      <c r="L32" s="670">
        <f t="shared" si="0"/>
      </c>
      <c r="O32" s="367"/>
    </row>
    <row r="33" spans="1:12" s="367" customFormat="1" ht="18" customHeight="1" x14ac:dyDescent="0.25">
      <c r="A33" s="582"/>
      <c r="B33" s="575"/>
      <c r="C33" s="920"/>
      <c r="D33" s="920"/>
      <c r="E33" s="920"/>
      <c r="F33" s="920"/>
      <c r="G33" s="920"/>
      <c r="H33" s="920"/>
      <c r="I33" s="920"/>
      <c r="J33" s="920"/>
      <c r="K33" s="669"/>
      <c r="L33" s="670">
        <f t="shared" si="0"/>
      </c>
    </row>
    <row r="34" spans="1:12" s="367" customFormat="1" ht="18" customHeight="1" x14ac:dyDescent="0.25">
      <c r="A34" s="582"/>
      <c r="B34" s="575"/>
      <c r="C34" s="920"/>
      <c r="D34" s="920"/>
      <c r="E34" s="920"/>
      <c r="F34" s="920"/>
      <c r="G34" s="920"/>
      <c r="H34" s="920"/>
      <c r="I34" s="920"/>
      <c r="J34" s="920"/>
      <c r="K34" s="669"/>
      <c r="L34" s="670">
        <f t="shared" si="0"/>
      </c>
    </row>
    <row r="35" spans="1:12" s="367" customFormat="1" ht="18" customHeight="1" x14ac:dyDescent="0.25">
      <c r="A35" s="582"/>
      <c r="B35" s="575"/>
      <c r="C35" s="920"/>
      <c r="D35" s="920"/>
      <c r="E35" s="920"/>
      <c r="F35" s="920"/>
      <c r="G35" s="920"/>
      <c r="H35" s="920"/>
      <c r="I35" s="920"/>
      <c r="J35" s="920"/>
      <c r="K35" s="669"/>
      <c r="L35" s="670">
        <f t="shared" si="0"/>
      </c>
    </row>
    <row r="36" spans="1:12" s="367" customFormat="1" ht="18" customHeight="1" x14ac:dyDescent="0.25">
      <c r="A36" s="582"/>
      <c r="B36" s="575"/>
      <c r="C36" s="920"/>
      <c r="D36" s="920"/>
      <c r="E36" s="920"/>
      <c r="F36" s="920"/>
      <c r="G36" s="920"/>
      <c r="H36" s="920"/>
      <c r="I36" s="920"/>
      <c r="J36" s="920"/>
      <c r="K36" s="669"/>
      <c r="L36" s="670">
        <f t="shared" si="0"/>
      </c>
    </row>
    <row r="37" spans="1:12" s="367" customFormat="1" ht="18" customHeight="1" x14ac:dyDescent="0.25">
      <c r="A37" s="582"/>
      <c r="B37" s="575"/>
      <c r="C37" s="920"/>
      <c r="D37" s="920"/>
      <c r="E37" s="920"/>
      <c r="F37" s="920"/>
      <c r="G37" s="920"/>
      <c r="H37" s="920"/>
      <c r="I37" s="920"/>
      <c r="J37" s="920"/>
      <c r="K37" s="669"/>
      <c r="L37" s="670">
        <f t="shared" si="0"/>
      </c>
    </row>
    <row r="38" spans="1:12" s="367" customFormat="1" ht="18" customHeight="1" x14ac:dyDescent="0.25">
      <c r="A38" s="582"/>
      <c r="B38" s="575"/>
      <c r="C38" s="920"/>
      <c r="D38" s="920"/>
      <c r="E38" s="920"/>
      <c r="F38" s="920"/>
      <c r="G38" s="920"/>
      <c r="H38" s="920"/>
      <c r="I38" s="920"/>
      <c r="J38" s="920"/>
      <c r="K38" s="669"/>
      <c r="L38" s="670">
        <f t="shared" si="0"/>
      </c>
    </row>
    <row r="39" spans="1:12" s="367" customFormat="1" ht="18" customHeight="1" x14ac:dyDescent="0.25">
      <c r="A39" s="582"/>
      <c r="B39" s="575"/>
      <c r="C39" s="920"/>
      <c r="D39" s="920"/>
      <c r="E39" s="920"/>
      <c r="F39" s="920"/>
      <c r="G39" s="920"/>
      <c r="H39" s="920"/>
      <c r="I39" s="920"/>
      <c r="J39" s="920"/>
      <c r="K39" s="669"/>
      <c r="L39" s="670">
        <f t="shared" si="0"/>
      </c>
    </row>
    <row r="40" spans="1:12" s="367" customFormat="1" ht="18" customHeight="1" x14ac:dyDescent="0.25">
      <c r="A40" s="582"/>
      <c r="B40" s="575"/>
      <c r="C40" s="924"/>
      <c r="D40" s="925"/>
      <c r="E40" s="925"/>
      <c r="F40" s="925"/>
      <c r="G40" s="925"/>
      <c r="H40" s="925"/>
      <c r="I40" s="925"/>
      <c r="J40" s="926"/>
      <c r="K40" s="669"/>
      <c r="L40" s="670">
        <f t="shared" si="0"/>
      </c>
    </row>
    <row r="41" spans="1:12" s="367" customFormat="1" ht="18" customHeight="1" x14ac:dyDescent="0.25">
      <c r="A41" s="582"/>
      <c r="B41" s="575"/>
      <c r="C41" s="924"/>
      <c r="D41" s="925"/>
      <c r="E41" s="925"/>
      <c r="F41" s="925"/>
      <c r="G41" s="925"/>
      <c r="H41" s="925"/>
      <c r="I41" s="925"/>
      <c r="J41" s="926"/>
      <c r="K41" s="669"/>
      <c r="L41" s="670">
        <f t="shared" si="0"/>
      </c>
    </row>
    <row r="42" spans="1:12" s="367" customFormat="1" ht="18" customHeight="1" x14ac:dyDescent="0.25">
      <c r="A42" s="582"/>
      <c r="B42" s="575"/>
      <c r="C42" s="924"/>
      <c r="D42" s="925"/>
      <c r="E42" s="925"/>
      <c r="F42" s="925"/>
      <c r="G42" s="925"/>
      <c r="H42" s="925"/>
      <c r="I42" s="925"/>
      <c r="J42" s="926"/>
      <c r="K42" s="669"/>
      <c r="L42" s="670">
        <f t="shared" si="0"/>
      </c>
    </row>
    <row r="43" spans="1:12" s="367" customFormat="1" ht="18" customHeight="1" x14ac:dyDescent="0.25">
      <c r="A43" s="582"/>
      <c r="B43" s="575"/>
      <c r="C43" s="924"/>
      <c r="D43" s="925"/>
      <c r="E43" s="925"/>
      <c r="F43" s="925"/>
      <c r="G43" s="925"/>
      <c r="H43" s="925"/>
      <c r="I43" s="925"/>
      <c r="J43" s="926"/>
      <c r="K43" s="669"/>
      <c r="L43" s="670">
        <f t="shared" si="0"/>
      </c>
    </row>
    <row r="44" spans="1:12" s="367" customFormat="1" ht="18" customHeight="1" x14ac:dyDescent="0.25">
      <c r="A44" s="582"/>
      <c r="B44" s="575"/>
      <c r="C44" s="920"/>
      <c r="D44" s="920"/>
      <c r="E44" s="920"/>
      <c r="F44" s="920"/>
      <c r="G44" s="920"/>
      <c r="H44" s="920"/>
      <c r="I44" s="920"/>
      <c r="J44" s="920"/>
      <c r="K44" s="669"/>
      <c r="L44" s="670">
        <f t="shared" ref="L44" si="1">ROUND(A44*K44,2)</f>
      </c>
    </row>
    <row r="45" spans="1:12" s="367" customFormat="1" ht="18" customHeight="1" thickBot="1" x14ac:dyDescent="0.3">
      <c r="A45" s="583"/>
      <c r="B45" s="576"/>
      <c r="C45" s="956"/>
      <c r="D45" s="956"/>
      <c r="E45" s="956"/>
      <c r="F45" s="956"/>
      <c r="G45" s="956"/>
      <c r="H45" s="956"/>
      <c r="I45" s="956"/>
      <c r="J45" s="956"/>
      <c r="K45" s="671"/>
      <c r="L45" s="672">
        <f t="shared" si="0"/>
      </c>
    </row>
    <row r="46" spans="1:12" s="367" customFormat="1" ht="19.899999999999999" customHeight="1" thickBot="1" x14ac:dyDescent="0.3">
      <c r="B46" s="491"/>
      <c r="C46" s="491"/>
      <c r="D46" s="491"/>
      <c r="E46" s="491"/>
      <c r="F46" s="491"/>
      <c r="G46" s="491"/>
      <c r="H46" s="491"/>
      <c r="I46" s="953" t="s">
        <v>544</v>
      </c>
      <c r="J46" s="953"/>
      <c r="K46" s="954"/>
      <c r="L46" s="651">
        <f>SUM(L15:L45)</f>
      </c>
    </row>
    <row r="47" spans="1:12" s="367" customFormat="1" ht="19.899999999999999" customHeight="1" x14ac:dyDescent="0.25">
      <c r="B47" s="491"/>
      <c r="C47" s="491"/>
      <c r="D47" s="491"/>
      <c r="E47" s="491"/>
      <c r="F47" s="491"/>
      <c r="G47" s="491"/>
      <c r="H47" s="491"/>
      <c r="I47" s="611"/>
      <c r="J47" s="611"/>
      <c r="K47" s="611"/>
      <c r="L47" s="580"/>
    </row>
    <row r="48" spans="1:12" s="367" customFormat="1" ht="16.5" customHeight="1" x14ac:dyDescent="0.25">
      <c r="A48" s="952" t="s">
        <v>34</v>
      </c>
      <c r="B48" s="952"/>
      <c r="C48" s="921">
        <f>Formalien!$E$15</f>
      </c>
      <c r="D48" s="795"/>
      <c r="E48" s="538"/>
      <c r="F48" s="538"/>
      <c r="G48" s="539" t="s">
        <v>528</v>
      </c>
      <c r="H48" s="922">
        <f>Formalien!$E$13</f>
      </c>
      <c r="I48" s="923"/>
      <c r="J48" s="923"/>
      <c r="L48" s="474" t="s">
        <v>564</v>
      </c>
    </row>
    <row r="49" spans="1:12" s="367" customFormat="1" ht="17.45" customHeight="1" x14ac:dyDescent="0.25">
      <c r="A49" s="335"/>
      <c r="B49" s="335"/>
      <c r="C49" s="335"/>
      <c r="D49" s="335"/>
      <c r="E49" s="335"/>
      <c r="F49" s="335"/>
      <c r="G49" s="335"/>
      <c r="H49" s="335"/>
      <c r="I49" s="335"/>
      <c r="J49" s="335"/>
      <c r="K49" s="335"/>
      <c r="L49" s="335"/>
    </row>
  </sheetData>
  <sheetProtection selectLockedCells="1"/>
  <mergeCells count="46">
    <mergeCell ref="A48:B48"/>
    <mergeCell ref="I46:K46"/>
    <mergeCell ref="C15:J15"/>
    <mergeCell ref="C17:J17"/>
    <mergeCell ref="C19:J19"/>
    <mergeCell ref="C21:J21"/>
    <mergeCell ref="C41:J41"/>
    <mergeCell ref="C42:J42"/>
    <mergeCell ref="C45:J45"/>
    <mergeCell ref="C33:J33"/>
    <mergeCell ref="C34:J34"/>
    <mergeCell ref="C32:J32"/>
    <mergeCell ref="C30:J30"/>
    <mergeCell ref="C29:J29"/>
    <mergeCell ref="C40:J40"/>
    <mergeCell ref="C39:J39"/>
    <mergeCell ref="K13:L13"/>
    <mergeCell ref="A8:L11"/>
    <mergeCell ref="A7:L7"/>
    <mergeCell ref="A6:L6"/>
    <mergeCell ref="C25:J25"/>
    <mergeCell ref="C20:J20"/>
    <mergeCell ref="C16:J16"/>
    <mergeCell ref="C18:J18"/>
    <mergeCell ref="C28:J28"/>
    <mergeCell ref="C44:J44"/>
    <mergeCell ref="C43:J43"/>
    <mergeCell ref="C31:J31"/>
    <mergeCell ref="A2:C2"/>
    <mergeCell ref="F3:I3"/>
    <mergeCell ref="D2:G2"/>
    <mergeCell ref="C26:J26"/>
    <mergeCell ref="E4:I4"/>
    <mergeCell ref="C24:J24"/>
    <mergeCell ref="C27:J27"/>
    <mergeCell ref="A13:A14"/>
    <mergeCell ref="B13:B14"/>
    <mergeCell ref="C13:J14"/>
    <mergeCell ref="C23:J23"/>
    <mergeCell ref="C22:J22"/>
    <mergeCell ref="C35:J35"/>
    <mergeCell ref="C36:J36"/>
    <mergeCell ref="C37:J37"/>
    <mergeCell ref="C38:J38"/>
    <mergeCell ref="C48:D48"/>
    <mergeCell ref="H48:J48"/>
  </mergeCells>
  <phoneticPr fontId="34" type="noConversion"/>
  <pageMargins left="0.78740157480314965" right="0.19685039370078741" top="0.78740157480314965" bottom="0.78740157480314965" header="0.31496062992125984" footer="0.31496062992125984"/>
  <pageSetup paperSize="9" scale="85" fitToWidth="0" fitToHeight="0"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L48"/>
  <sheetViews>
    <sheetView showGridLines="0" showZeros="0" zoomScaleNormal="100" workbookViewId="0">
      <selection activeCell="K31" sqref="K31"/>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8" customHeight="1" x14ac:dyDescent="0.25">
      <c r="A1" s="570" t="s">
        <v>581</v>
      </c>
      <c r="B1" s="507"/>
      <c r="C1" s="570"/>
      <c r="D1" s="570"/>
      <c r="E1" s="570"/>
      <c r="F1" s="570"/>
      <c r="G1" s="570"/>
      <c r="H1" s="570"/>
      <c r="I1" s="566"/>
      <c r="J1" s="339"/>
      <c r="K1" s="339"/>
      <c r="L1" s="336"/>
    </row>
    <row r="2" spans="1:12" ht="15.6" customHeight="1" x14ac:dyDescent="0.2">
      <c r="A2" s="964" t="s">
        <v>1</v>
      </c>
      <c r="B2" s="959"/>
      <c r="C2" s="959"/>
      <c r="D2" s="957">
        <f>Formalien!$E$3</f>
      </c>
      <c r="E2" s="958"/>
      <c r="F2" s="958"/>
      <c r="G2" s="958"/>
      <c r="H2" s="958"/>
      <c r="I2" s="958"/>
      <c r="J2" s="618"/>
      <c r="K2" s="614" t="s">
        <v>519</v>
      </c>
      <c r="L2" s="619">
        <f>Formalien!$E$4</f>
      </c>
    </row>
    <row r="3" spans="1:12" ht="15.6" customHeight="1" x14ac:dyDescent="0.2">
      <c r="A3" s="614" t="s">
        <v>65</v>
      </c>
      <c r="B3" s="615"/>
      <c r="C3" s="615"/>
      <c r="D3" s="615"/>
      <c r="E3" s="616">
        <f>Formalien!$E$16</f>
      </c>
      <c r="F3" s="927"/>
      <c r="G3" s="959"/>
      <c r="H3" s="959"/>
      <c r="I3" s="959"/>
      <c r="J3" s="620"/>
      <c r="K3" s="621"/>
      <c r="L3" s="618"/>
    </row>
    <row r="4" spans="1:12" ht="15.6" customHeight="1" x14ac:dyDescent="0.2">
      <c r="A4" s="614" t="s">
        <v>0</v>
      </c>
      <c r="B4" s="615"/>
      <c r="C4" s="615"/>
      <c r="D4" s="615"/>
      <c r="E4" s="930">
        <f>Formalien!$E$6</f>
      </c>
      <c r="F4" s="930"/>
      <c r="G4" s="930"/>
      <c r="H4" s="930"/>
      <c r="I4" s="958"/>
      <c r="J4" s="958"/>
      <c r="K4" s="618"/>
      <c r="L4" s="618"/>
    </row>
    <row r="5" spans="1:12" ht="15.6" customHeight="1" thickBot="1" x14ac:dyDescent="0.3">
      <c r="A5" s="487"/>
      <c r="B5" s="488"/>
      <c r="C5" s="488"/>
      <c r="D5" s="488"/>
      <c r="E5" s="488"/>
      <c r="F5" s="488"/>
      <c r="G5" s="488"/>
      <c r="H5" s="488"/>
      <c r="I5" s="542"/>
      <c r="J5" s="542"/>
      <c r="K5" s="542"/>
      <c r="L5" s="542"/>
    </row>
    <row r="6" spans="1:12" ht="15.6" customHeight="1" x14ac:dyDescent="0.25">
      <c r="A6" s="950"/>
      <c r="B6" s="951"/>
      <c r="C6" s="951"/>
      <c r="D6" s="951"/>
      <c r="E6" s="951"/>
      <c r="F6" s="951"/>
      <c r="G6" s="951"/>
      <c r="H6" s="951"/>
      <c r="I6" s="951"/>
      <c r="J6" s="951"/>
      <c r="K6" s="951"/>
      <c r="L6" s="951"/>
    </row>
    <row r="7" spans="1:12" ht="15.6" customHeight="1" thickBot="1" x14ac:dyDescent="0.3">
      <c r="A7" s="948" t="s">
        <v>559</v>
      </c>
      <c r="B7" s="949"/>
      <c r="C7" s="949"/>
      <c r="D7" s="949"/>
      <c r="E7" s="949"/>
      <c r="F7" s="949"/>
      <c r="G7" s="949"/>
      <c r="H7" s="949"/>
      <c r="I7" s="949"/>
      <c r="J7" s="949"/>
      <c r="K7" s="949"/>
      <c r="L7" s="949"/>
    </row>
    <row r="8" spans="1:12" ht="15.6" customHeight="1" x14ac:dyDescent="0.2">
      <c r="A8" s="972"/>
      <c r="B8" s="973"/>
      <c r="C8" s="973"/>
      <c r="D8" s="973"/>
      <c r="E8" s="973"/>
      <c r="F8" s="973"/>
      <c r="G8" s="973"/>
      <c r="H8" s="973"/>
      <c r="I8" s="973"/>
      <c r="J8" s="973"/>
      <c r="K8" s="973"/>
      <c r="L8" s="974"/>
    </row>
    <row r="9" spans="1:12" ht="15.6" customHeight="1" x14ac:dyDescent="0.2">
      <c r="A9" s="975"/>
      <c r="B9" s="976"/>
      <c r="C9" s="976"/>
      <c r="D9" s="976"/>
      <c r="E9" s="976"/>
      <c r="F9" s="976"/>
      <c r="G9" s="976"/>
      <c r="H9" s="976"/>
      <c r="I9" s="976"/>
      <c r="J9" s="976"/>
      <c r="K9" s="976"/>
      <c r="L9" s="977"/>
    </row>
    <row r="10" spans="1:12" ht="15.6" customHeight="1" x14ac:dyDescent="0.2">
      <c r="A10" s="975"/>
      <c r="B10" s="976"/>
      <c r="C10" s="976"/>
      <c r="D10" s="976"/>
      <c r="E10" s="976"/>
      <c r="F10" s="976"/>
      <c r="G10" s="976"/>
      <c r="H10" s="976"/>
      <c r="I10" s="976"/>
      <c r="J10" s="976"/>
      <c r="K10" s="976"/>
      <c r="L10" s="977"/>
    </row>
    <row r="11" spans="1:12" ht="15.6" customHeight="1" x14ac:dyDescent="0.2">
      <c r="A11" s="975"/>
      <c r="B11" s="976"/>
      <c r="C11" s="976"/>
      <c r="D11" s="976"/>
      <c r="E11" s="976"/>
      <c r="F11" s="976"/>
      <c r="G11" s="976"/>
      <c r="H11" s="976"/>
      <c r="I11" s="976"/>
      <c r="J11" s="976"/>
      <c r="K11" s="976"/>
      <c r="L11" s="977"/>
    </row>
    <row r="12" spans="1:12" ht="15.6" customHeight="1" x14ac:dyDescent="0.2">
      <c r="A12" s="975"/>
      <c r="B12" s="976"/>
      <c r="C12" s="976"/>
      <c r="D12" s="976"/>
      <c r="E12" s="976"/>
      <c r="F12" s="976"/>
      <c r="G12" s="976"/>
      <c r="H12" s="976"/>
      <c r="I12" s="976"/>
      <c r="J12" s="976"/>
      <c r="K12" s="976"/>
      <c r="L12" s="977"/>
    </row>
    <row r="13" spans="1:12" ht="15.6" customHeight="1" x14ac:dyDescent="0.2">
      <c r="A13" s="975"/>
      <c r="B13" s="976"/>
      <c r="C13" s="976"/>
      <c r="D13" s="976"/>
      <c r="E13" s="976"/>
      <c r="F13" s="976"/>
      <c r="G13" s="976"/>
      <c r="H13" s="976"/>
      <c r="I13" s="976"/>
      <c r="J13" s="976"/>
      <c r="K13" s="976"/>
      <c r="L13" s="977"/>
    </row>
    <row r="14" spans="1:12" ht="15.6" customHeight="1" thickBot="1" x14ac:dyDescent="0.25">
      <c r="A14" s="978"/>
      <c r="B14" s="979"/>
      <c r="C14" s="979"/>
      <c r="D14" s="979"/>
      <c r="E14" s="979"/>
      <c r="F14" s="979"/>
      <c r="G14" s="979"/>
      <c r="H14" s="979"/>
      <c r="I14" s="979"/>
      <c r="J14" s="979"/>
      <c r="K14" s="979"/>
      <c r="L14" s="980"/>
    </row>
    <row r="15" spans="1:12" ht="15.6" customHeight="1" thickBot="1" x14ac:dyDescent="0.25">
      <c r="A15" s="990"/>
      <c r="B15" s="991"/>
      <c r="C15" s="991"/>
      <c r="D15" s="991"/>
      <c r="E15" s="991"/>
      <c r="F15" s="991"/>
      <c r="G15" s="991"/>
      <c r="H15" s="991"/>
      <c r="I15" s="991"/>
      <c r="J15" s="991"/>
      <c r="K15" s="991"/>
      <c r="L15" s="991"/>
    </row>
    <row r="16" spans="1:12" ht="16.899999999999999" customHeight="1" x14ac:dyDescent="0.25">
      <c r="A16" s="983" t="s">
        <v>60</v>
      </c>
      <c r="B16" s="985" t="s">
        <v>434</v>
      </c>
      <c r="C16" s="987" t="s">
        <v>530</v>
      </c>
      <c r="D16" s="987"/>
      <c r="E16" s="987"/>
      <c r="F16" s="987"/>
      <c r="G16" s="987"/>
      <c r="H16" s="987"/>
      <c r="I16" s="988"/>
      <c r="J16" s="988"/>
      <c r="K16" s="962" t="s">
        <v>59</v>
      </c>
      <c r="L16" s="963"/>
    </row>
    <row r="17" spans="1:12" ht="16.899999999999999" customHeight="1" thickBot="1" x14ac:dyDescent="0.3">
      <c r="A17" s="984"/>
      <c r="B17" s="986"/>
      <c r="C17" s="989"/>
      <c r="D17" s="989"/>
      <c r="E17" s="989"/>
      <c r="F17" s="989"/>
      <c r="G17" s="989"/>
      <c r="H17" s="989"/>
      <c r="I17" s="989"/>
      <c r="J17" s="989"/>
      <c r="K17" s="559" t="s">
        <v>433</v>
      </c>
      <c r="L17" s="560" t="s">
        <v>456</v>
      </c>
    </row>
    <row r="18" spans="1:12" ht="18" customHeight="1" x14ac:dyDescent="0.2">
      <c r="A18" s="586"/>
      <c r="B18" s="370"/>
      <c r="C18" s="981"/>
      <c r="D18" s="981"/>
      <c r="E18" s="981"/>
      <c r="F18" s="981"/>
      <c r="G18" s="981"/>
      <c r="H18" s="981"/>
      <c r="I18" s="982"/>
      <c r="J18" s="982"/>
      <c r="K18" s="673"/>
      <c r="L18" s="674">
        <f t="shared" ref="L18:L22" si="0">ROUND(A18*K18,2)</f>
      </c>
    </row>
    <row r="19" spans="1:12" ht="18" customHeight="1" x14ac:dyDescent="0.2">
      <c r="A19" s="584"/>
      <c r="B19" s="577"/>
      <c r="C19" s="960"/>
      <c r="D19" s="960"/>
      <c r="E19" s="960"/>
      <c r="F19" s="960"/>
      <c r="G19" s="960"/>
      <c r="H19" s="960"/>
      <c r="I19" s="961"/>
      <c r="J19" s="961"/>
      <c r="K19" s="675"/>
      <c r="L19" s="666">
        <f t="shared" si="0"/>
      </c>
    </row>
    <row r="20" spans="1:12" ht="18" customHeight="1" x14ac:dyDescent="0.2">
      <c r="A20" s="584"/>
      <c r="B20" s="577"/>
      <c r="C20" s="960"/>
      <c r="D20" s="960"/>
      <c r="E20" s="960"/>
      <c r="F20" s="960"/>
      <c r="G20" s="960"/>
      <c r="H20" s="960"/>
      <c r="I20" s="961"/>
      <c r="J20" s="961"/>
      <c r="K20" s="675"/>
      <c r="L20" s="666">
        <f t="shared" si="0"/>
      </c>
    </row>
    <row r="21" spans="1:12" ht="18" customHeight="1" x14ac:dyDescent="0.2">
      <c r="A21" s="584"/>
      <c r="B21" s="577"/>
      <c r="C21" s="960"/>
      <c r="D21" s="960"/>
      <c r="E21" s="960"/>
      <c r="F21" s="960"/>
      <c r="G21" s="960"/>
      <c r="H21" s="960"/>
      <c r="I21" s="961"/>
      <c r="J21" s="961"/>
      <c r="K21" s="675"/>
      <c r="L21" s="666">
        <f t="shared" si="0"/>
      </c>
    </row>
    <row r="22" spans="1:12" ht="18" customHeight="1" x14ac:dyDescent="0.2">
      <c r="A22" s="584"/>
      <c r="B22" s="577"/>
      <c r="C22" s="960"/>
      <c r="D22" s="960"/>
      <c r="E22" s="960"/>
      <c r="F22" s="960"/>
      <c r="G22" s="960"/>
      <c r="H22" s="960"/>
      <c r="I22" s="961"/>
      <c r="J22" s="961"/>
      <c r="K22" s="675"/>
      <c r="L22" s="666">
        <f t="shared" si="0"/>
      </c>
    </row>
    <row r="23" spans="1:12" ht="18" customHeight="1" x14ac:dyDescent="0.2">
      <c r="A23" s="584"/>
      <c r="B23" s="577"/>
      <c r="C23" s="960"/>
      <c r="D23" s="960"/>
      <c r="E23" s="960"/>
      <c r="F23" s="960"/>
      <c r="G23" s="960"/>
      <c r="H23" s="960"/>
      <c r="I23" s="961"/>
      <c r="J23" s="961"/>
      <c r="K23" s="675"/>
      <c r="L23" s="666">
        <f t="shared" ref="L23:L45" si="1">ROUND(A23*K23,2)</f>
      </c>
    </row>
    <row r="24" spans="1:12" ht="18" customHeight="1" x14ac:dyDescent="0.2">
      <c r="A24" s="584"/>
      <c r="B24" s="577"/>
      <c r="C24" s="960"/>
      <c r="D24" s="960"/>
      <c r="E24" s="960"/>
      <c r="F24" s="960"/>
      <c r="G24" s="960"/>
      <c r="H24" s="960"/>
      <c r="I24" s="961"/>
      <c r="J24" s="961"/>
      <c r="K24" s="675"/>
      <c r="L24" s="666">
        <f t="shared" si="1"/>
      </c>
    </row>
    <row r="25" spans="1:12" ht="18" customHeight="1" x14ac:dyDescent="0.2">
      <c r="A25" s="584"/>
      <c r="B25" s="577"/>
      <c r="C25" s="960"/>
      <c r="D25" s="960"/>
      <c r="E25" s="960"/>
      <c r="F25" s="960"/>
      <c r="G25" s="960"/>
      <c r="H25" s="960"/>
      <c r="I25" s="961"/>
      <c r="J25" s="961"/>
      <c r="K25" s="675"/>
      <c r="L25" s="666">
        <f t="shared" si="1"/>
      </c>
    </row>
    <row r="26" spans="1:12" ht="18" customHeight="1" x14ac:dyDescent="0.2">
      <c r="A26" s="584"/>
      <c r="B26" s="577"/>
      <c r="C26" s="960"/>
      <c r="D26" s="960"/>
      <c r="E26" s="960"/>
      <c r="F26" s="960"/>
      <c r="G26" s="960"/>
      <c r="H26" s="960"/>
      <c r="I26" s="961"/>
      <c r="J26" s="961"/>
      <c r="K26" s="675"/>
      <c r="L26" s="666">
        <f t="shared" si="1"/>
      </c>
    </row>
    <row r="27" spans="1:12" ht="18" customHeight="1" x14ac:dyDescent="0.2">
      <c r="A27" s="584"/>
      <c r="B27" s="577"/>
      <c r="C27" s="960"/>
      <c r="D27" s="960"/>
      <c r="E27" s="960"/>
      <c r="F27" s="960"/>
      <c r="G27" s="960"/>
      <c r="H27" s="960"/>
      <c r="I27" s="961"/>
      <c r="J27" s="961"/>
      <c r="K27" s="675"/>
      <c r="L27" s="666">
        <f t="shared" si="1"/>
      </c>
    </row>
    <row r="28" spans="1:12" ht="18" customHeight="1" x14ac:dyDescent="0.2">
      <c r="A28" s="584"/>
      <c r="B28" s="577"/>
      <c r="C28" s="960"/>
      <c r="D28" s="960"/>
      <c r="E28" s="960"/>
      <c r="F28" s="960"/>
      <c r="G28" s="960"/>
      <c r="H28" s="960"/>
      <c r="I28" s="961"/>
      <c r="J28" s="961"/>
      <c r="K28" s="675"/>
      <c r="L28" s="666">
        <f t="shared" si="1"/>
      </c>
    </row>
    <row r="29" spans="1:12" ht="18" customHeight="1" x14ac:dyDescent="0.2">
      <c r="A29" s="584"/>
      <c r="B29" s="577"/>
      <c r="C29" s="960"/>
      <c r="D29" s="960"/>
      <c r="E29" s="960"/>
      <c r="F29" s="960"/>
      <c r="G29" s="960"/>
      <c r="H29" s="960"/>
      <c r="I29" s="961"/>
      <c r="J29" s="961"/>
      <c r="K29" s="675"/>
      <c r="L29" s="666">
        <f t="shared" si="1"/>
      </c>
    </row>
    <row r="30" spans="1:12" ht="18" customHeight="1" x14ac:dyDescent="0.2">
      <c r="A30" s="584"/>
      <c r="B30" s="577"/>
      <c r="C30" s="960"/>
      <c r="D30" s="960"/>
      <c r="E30" s="960"/>
      <c r="F30" s="960"/>
      <c r="G30" s="960"/>
      <c r="H30" s="960"/>
      <c r="I30" s="961"/>
      <c r="J30" s="961"/>
      <c r="K30" s="675"/>
      <c r="L30" s="666">
        <f t="shared" si="1"/>
      </c>
    </row>
    <row r="31" spans="1:12" ht="18" customHeight="1" x14ac:dyDescent="0.2">
      <c r="A31" s="584"/>
      <c r="B31" s="577"/>
      <c r="C31" s="960"/>
      <c r="D31" s="960"/>
      <c r="E31" s="960"/>
      <c r="F31" s="960"/>
      <c r="G31" s="960"/>
      <c r="H31" s="960"/>
      <c r="I31" s="961"/>
      <c r="J31" s="961"/>
      <c r="K31" s="675"/>
      <c r="L31" s="666">
        <f t="shared" si="1"/>
      </c>
    </row>
    <row r="32" spans="1:12" ht="18" customHeight="1" x14ac:dyDescent="0.2">
      <c r="A32" s="584"/>
      <c r="B32" s="577"/>
      <c r="C32" s="960"/>
      <c r="D32" s="960"/>
      <c r="E32" s="960"/>
      <c r="F32" s="960"/>
      <c r="G32" s="960"/>
      <c r="H32" s="960"/>
      <c r="I32" s="961"/>
      <c r="J32" s="961"/>
      <c r="K32" s="675"/>
      <c r="L32" s="666">
        <f t="shared" si="1"/>
      </c>
    </row>
    <row r="33" spans="1:12" ht="18" customHeight="1" x14ac:dyDescent="0.2">
      <c r="A33" s="584"/>
      <c r="B33" s="577"/>
      <c r="C33" s="960"/>
      <c r="D33" s="960"/>
      <c r="E33" s="960"/>
      <c r="F33" s="960"/>
      <c r="G33" s="960"/>
      <c r="H33" s="960"/>
      <c r="I33" s="961"/>
      <c r="J33" s="961"/>
      <c r="K33" s="675"/>
      <c r="L33" s="666">
        <f t="shared" si="1"/>
      </c>
    </row>
    <row r="34" spans="1:12" ht="18" customHeight="1" x14ac:dyDescent="0.2">
      <c r="A34" s="584"/>
      <c r="B34" s="577"/>
      <c r="C34" s="960"/>
      <c r="D34" s="960"/>
      <c r="E34" s="960"/>
      <c r="F34" s="960"/>
      <c r="G34" s="960"/>
      <c r="H34" s="960"/>
      <c r="I34" s="961"/>
      <c r="J34" s="961"/>
      <c r="K34" s="675"/>
      <c r="L34" s="666">
        <f t="shared" si="1"/>
      </c>
    </row>
    <row r="35" spans="1:12" ht="18" customHeight="1" x14ac:dyDescent="0.2">
      <c r="A35" s="584"/>
      <c r="B35" s="577"/>
      <c r="C35" s="960"/>
      <c r="D35" s="960"/>
      <c r="E35" s="960"/>
      <c r="F35" s="960"/>
      <c r="G35" s="960"/>
      <c r="H35" s="960"/>
      <c r="I35" s="961"/>
      <c r="J35" s="961"/>
      <c r="K35" s="675"/>
      <c r="L35" s="666">
        <f t="shared" si="1"/>
      </c>
    </row>
    <row r="36" spans="1:12" ht="18" customHeight="1" x14ac:dyDescent="0.2">
      <c r="A36" s="584"/>
      <c r="B36" s="577"/>
      <c r="C36" s="960"/>
      <c r="D36" s="960"/>
      <c r="E36" s="960"/>
      <c r="F36" s="960"/>
      <c r="G36" s="960"/>
      <c r="H36" s="960"/>
      <c r="I36" s="961"/>
      <c r="J36" s="961"/>
      <c r="K36" s="675"/>
      <c r="L36" s="666">
        <f t="shared" si="1"/>
      </c>
    </row>
    <row r="37" spans="1:12" ht="18" customHeight="1" x14ac:dyDescent="0.2">
      <c r="A37" s="584"/>
      <c r="B37" s="577"/>
      <c r="C37" s="960"/>
      <c r="D37" s="960"/>
      <c r="E37" s="960"/>
      <c r="F37" s="960"/>
      <c r="G37" s="960"/>
      <c r="H37" s="960"/>
      <c r="I37" s="961"/>
      <c r="J37" s="961"/>
      <c r="K37" s="675"/>
      <c r="L37" s="666">
        <f t="shared" si="1"/>
      </c>
    </row>
    <row r="38" spans="1:12" ht="18" customHeight="1" x14ac:dyDescent="0.2">
      <c r="A38" s="584"/>
      <c r="B38" s="577"/>
      <c r="C38" s="960"/>
      <c r="D38" s="960"/>
      <c r="E38" s="960"/>
      <c r="F38" s="960"/>
      <c r="G38" s="960"/>
      <c r="H38" s="960"/>
      <c r="I38" s="961"/>
      <c r="J38" s="961"/>
      <c r="K38" s="675"/>
      <c r="L38" s="666">
        <f t="shared" si="1"/>
      </c>
    </row>
    <row r="39" spans="1:12" ht="18" customHeight="1" x14ac:dyDescent="0.2">
      <c r="A39" s="584"/>
      <c r="B39" s="577"/>
      <c r="C39" s="960"/>
      <c r="D39" s="960"/>
      <c r="E39" s="960"/>
      <c r="F39" s="960"/>
      <c r="G39" s="960"/>
      <c r="H39" s="960"/>
      <c r="I39" s="961"/>
      <c r="J39" s="961"/>
      <c r="K39" s="675"/>
      <c r="L39" s="666">
        <f t="shared" si="1"/>
      </c>
    </row>
    <row r="40" spans="1:12" ht="18" customHeight="1" x14ac:dyDescent="0.2">
      <c r="A40" s="584"/>
      <c r="B40" s="577"/>
      <c r="C40" s="960"/>
      <c r="D40" s="960"/>
      <c r="E40" s="960"/>
      <c r="F40" s="960"/>
      <c r="G40" s="960"/>
      <c r="H40" s="960"/>
      <c r="I40" s="961"/>
      <c r="J40" s="961"/>
      <c r="K40" s="675"/>
      <c r="L40" s="666">
        <f t="shared" si="1"/>
      </c>
    </row>
    <row r="41" spans="1:12" ht="18" customHeight="1" x14ac:dyDescent="0.2">
      <c r="A41" s="584"/>
      <c r="B41" s="577"/>
      <c r="C41" s="960"/>
      <c r="D41" s="960"/>
      <c r="E41" s="960"/>
      <c r="F41" s="960"/>
      <c r="G41" s="960"/>
      <c r="H41" s="960"/>
      <c r="I41" s="961"/>
      <c r="J41" s="961"/>
      <c r="K41" s="675"/>
      <c r="L41" s="666">
        <f t="shared" si="1"/>
      </c>
    </row>
    <row r="42" spans="1:12" ht="18" customHeight="1" x14ac:dyDescent="0.2">
      <c r="A42" s="584"/>
      <c r="B42" s="577"/>
      <c r="C42" s="960"/>
      <c r="D42" s="960"/>
      <c r="E42" s="960"/>
      <c r="F42" s="960"/>
      <c r="G42" s="960"/>
      <c r="H42" s="960"/>
      <c r="I42" s="961"/>
      <c r="J42" s="961"/>
      <c r="K42" s="675"/>
      <c r="L42" s="666">
        <f t="shared" si="1"/>
      </c>
    </row>
    <row r="43" spans="1:12" ht="18" customHeight="1" x14ac:dyDescent="0.2">
      <c r="A43" s="584"/>
      <c r="B43" s="577"/>
      <c r="C43" s="960"/>
      <c r="D43" s="960"/>
      <c r="E43" s="960"/>
      <c r="F43" s="960"/>
      <c r="G43" s="960"/>
      <c r="H43" s="960"/>
      <c r="I43" s="961"/>
      <c r="J43" s="961"/>
      <c r="K43" s="675"/>
      <c r="L43" s="666">
        <f t="shared" si="1"/>
      </c>
    </row>
    <row r="44" spans="1:12" ht="18" customHeight="1" x14ac:dyDescent="0.2">
      <c r="A44" s="584"/>
      <c r="B44" s="577"/>
      <c r="C44" s="960"/>
      <c r="D44" s="960"/>
      <c r="E44" s="960"/>
      <c r="F44" s="960"/>
      <c r="G44" s="960"/>
      <c r="H44" s="960"/>
      <c r="I44" s="961"/>
      <c r="J44" s="961"/>
      <c r="K44" s="675"/>
      <c r="L44" s="666">
        <f t="shared" si="1"/>
      </c>
    </row>
    <row r="45" spans="1:12" ht="18" customHeight="1" thickBot="1" x14ac:dyDescent="0.25">
      <c r="A45" s="585"/>
      <c r="B45" s="578"/>
      <c r="C45" s="966"/>
      <c r="D45" s="966"/>
      <c r="E45" s="966"/>
      <c r="F45" s="966"/>
      <c r="G45" s="966"/>
      <c r="H45" s="966"/>
      <c r="I45" s="967"/>
      <c r="J45" s="968"/>
      <c r="K45" s="676"/>
      <c r="L45" s="677">
        <f t="shared" si="1"/>
      </c>
    </row>
    <row r="46" spans="1:12" ht="20.100000000000001" customHeight="1" thickBot="1" x14ac:dyDescent="0.3">
      <c r="A46" s="540"/>
      <c r="B46" s="540"/>
      <c r="C46" s="540"/>
      <c r="D46" s="540"/>
      <c r="E46" s="540"/>
      <c r="F46" s="540"/>
      <c r="G46" s="540"/>
      <c r="H46" s="969" t="s">
        <v>545</v>
      </c>
      <c r="I46" s="970"/>
      <c r="J46" s="970"/>
      <c r="K46" s="971"/>
      <c r="L46" s="650">
        <f>SUM(L18:L45)</f>
      </c>
    </row>
    <row r="47" spans="1:12" ht="15" x14ac:dyDescent="0.25">
      <c r="A47" s="193"/>
      <c r="B47" s="193"/>
      <c r="C47" s="193"/>
      <c r="D47" s="193"/>
      <c r="E47" s="193"/>
      <c r="F47" s="193"/>
      <c r="G47" s="193"/>
      <c r="H47" s="193"/>
      <c r="I47" s="193"/>
      <c r="J47" s="193"/>
      <c r="K47" s="541"/>
      <c r="L47" s="541"/>
    </row>
    <row r="48" spans="1:12" ht="14.45" customHeight="1" x14ac:dyDescent="0.25">
      <c r="A48" s="952" t="s">
        <v>34</v>
      </c>
      <c r="B48" s="952"/>
      <c r="C48" s="921">
        <f>Formalien!$E$15</f>
      </c>
      <c r="D48" s="795"/>
      <c r="E48" s="538"/>
      <c r="F48" s="921" t="s">
        <v>121</v>
      </c>
      <c r="G48" s="795"/>
      <c r="H48" s="965">
        <f>Formalien!$E$13</f>
      </c>
      <c r="I48" s="923"/>
      <c r="J48" s="923"/>
      <c r="L48" s="339" t="s">
        <v>565</v>
      </c>
    </row>
  </sheetData>
  <sheetProtection selectLockedCells="1"/>
  <mergeCells count="45">
    <mergeCell ref="A8:L14"/>
    <mergeCell ref="A7:L7"/>
    <mergeCell ref="C21:J21"/>
    <mergeCell ref="C18:J18"/>
    <mergeCell ref="A16:A17"/>
    <mergeCell ref="B16:B17"/>
    <mergeCell ref="C16:J17"/>
    <mergeCell ref="A15:L15"/>
    <mergeCell ref="C22:J22"/>
    <mergeCell ref="C43:J43"/>
    <mergeCell ref="C27:J27"/>
    <mergeCell ref="C44:J44"/>
    <mergeCell ref="C26:J26"/>
    <mergeCell ref="C31:J31"/>
    <mergeCell ref="F48:G48"/>
    <mergeCell ref="H48:J48"/>
    <mergeCell ref="C45:J45"/>
    <mergeCell ref="C39:J39"/>
    <mergeCell ref="C23:J23"/>
    <mergeCell ref="C40:J40"/>
    <mergeCell ref="C41:J41"/>
    <mergeCell ref="C48:D48"/>
    <mergeCell ref="H46:K46"/>
    <mergeCell ref="C33:J33"/>
    <mergeCell ref="C34:J34"/>
    <mergeCell ref="C35:J35"/>
    <mergeCell ref="C36:J36"/>
    <mergeCell ref="C37:J37"/>
    <mergeCell ref="C38:J38"/>
    <mergeCell ref="D2:I2"/>
    <mergeCell ref="E4:J4"/>
    <mergeCell ref="A48:B48"/>
    <mergeCell ref="F3:I3"/>
    <mergeCell ref="A6:L6"/>
    <mergeCell ref="C32:J32"/>
    <mergeCell ref="C19:J19"/>
    <mergeCell ref="C20:J20"/>
    <mergeCell ref="K16:L16"/>
    <mergeCell ref="C28:J28"/>
    <mergeCell ref="C29:J29"/>
    <mergeCell ref="C30:J30"/>
    <mergeCell ref="A2:C2"/>
    <mergeCell ref="C42:J42"/>
    <mergeCell ref="C24:J24"/>
    <mergeCell ref="C25:J25"/>
  </mergeCells>
  <pageMargins left="0.78740157480314965" right="0.19685039370078741" top="0.78740157480314965" bottom="0.78740157480314965"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L48"/>
  <sheetViews>
    <sheetView showGridLines="0" showZeros="0" zoomScaleNormal="100" workbookViewId="0">
      <selection activeCell="L10" sqref="L10"/>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4.45" customHeight="1" x14ac:dyDescent="0.25">
      <c r="A1" s="570" t="s">
        <v>552</v>
      </c>
      <c r="B1" s="507"/>
      <c r="C1" s="570"/>
      <c r="D1" s="570"/>
      <c r="E1" s="570"/>
      <c r="F1" s="570"/>
      <c r="G1" s="570"/>
      <c r="H1" s="570"/>
      <c r="I1" s="566"/>
      <c r="J1" s="566"/>
      <c r="K1" s="544"/>
      <c r="L1" s="544"/>
    </row>
    <row r="2" spans="1:12" ht="14.45" customHeight="1" x14ac:dyDescent="0.25">
      <c r="A2" s="964" t="s">
        <v>1</v>
      </c>
      <c r="B2" s="959"/>
      <c r="C2" s="959"/>
      <c r="D2" s="957">
        <f>Formalien!$E$3</f>
      </c>
      <c r="E2" s="958"/>
      <c r="F2" s="958"/>
      <c r="G2" s="958"/>
      <c r="H2" s="958"/>
      <c r="I2" s="958"/>
      <c r="K2" s="364" t="s">
        <v>519</v>
      </c>
      <c r="L2" s="619">
        <f>Formalien!$E$4</f>
      </c>
    </row>
    <row r="3" spans="1:12" ht="14.45" customHeight="1" x14ac:dyDescent="0.25">
      <c r="A3" s="614" t="s">
        <v>65</v>
      </c>
      <c r="B3" s="615"/>
      <c r="C3" s="615"/>
      <c r="D3" s="371"/>
      <c r="E3" s="537">
        <f>Formalien!$E$16</f>
      </c>
      <c r="F3" s="996"/>
      <c r="G3" s="872"/>
      <c r="H3" s="872"/>
      <c r="I3" s="872"/>
      <c r="J3" s="79"/>
      <c r="K3" s="338"/>
      <c r="L3" s="331"/>
    </row>
    <row r="4" spans="1:12" ht="14.45" customHeight="1" x14ac:dyDescent="0.25">
      <c r="A4" s="614" t="s">
        <v>0</v>
      </c>
      <c r="B4" s="615"/>
      <c r="C4" s="615"/>
      <c r="D4" s="371"/>
      <c r="E4" s="930">
        <f>Formalien!$E$6</f>
      </c>
      <c r="F4" s="930"/>
      <c r="G4" s="930"/>
      <c r="H4" s="930"/>
      <c r="I4" s="958"/>
      <c r="K4" s="331"/>
      <c r="L4" s="331"/>
    </row>
    <row r="5" spans="1:12" ht="14.45" customHeight="1" thickBot="1" x14ac:dyDescent="0.3">
      <c r="A5" s="487"/>
      <c r="B5" s="488"/>
      <c r="C5" s="488"/>
      <c r="D5" s="488"/>
      <c r="E5" s="488"/>
      <c r="F5" s="488"/>
      <c r="G5" s="488"/>
      <c r="H5" s="488"/>
      <c r="I5" s="334"/>
      <c r="J5" s="487"/>
      <c r="K5" s="489"/>
      <c r="L5" s="489"/>
    </row>
    <row r="6" spans="1:12" ht="15.6" customHeight="1" thickBot="1" x14ac:dyDescent="0.3">
      <c r="A6" s="364"/>
      <c r="B6" s="371"/>
      <c r="C6" s="371"/>
      <c r="D6" s="371"/>
      <c r="E6" s="371"/>
      <c r="F6" s="371"/>
      <c r="G6" s="371"/>
      <c r="H6" s="371"/>
      <c r="I6" s="336"/>
      <c r="J6" s="364"/>
      <c r="K6" s="344"/>
      <c r="L6" s="344"/>
    </row>
    <row r="7" spans="1:12" ht="16.899999999999999" customHeight="1" x14ac:dyDescent="0.2">
      <c r="A7" s="997" t="s">
        <v>60</v>
      </c>
      <c r="B7" s="999" t="s">
        <v>434</v>
      </c>
      <c r="C7" s="1001" t="s">
        <v>530</v>
      </c>
      <c r="D7" s="1001"/>
      <c r="E7" s="1001"/>
      <c r="F7" s="1001"/>
      <c r="G7" s="1001"/>
      <c r="H7" s="1001"/>
      <c r="I7" s="1002"/>
      <c r="J7" s="1002"/>
      <c r="K7" s="937" t="s">
        <v>59</v>
      </c>
      <c r="L7" s="938"/>
    </row>
    <row r="8" spans="1:12" ht="16.899999999999999" customHeight="1" thickBot="1" x14ac:dyDescent="0.25">
      <c r="A8" s="998"/>
      <c r="B8" s="1000"/>
      <c r="C8" s="989"/>
      <c r="D8" s="989"/>
      <c r="E8" s="989"/>
      <c r="F8" s="989"/>
      <c r="G8" s="989"/>
      <c r="H8" s="989"/>
      <c r="I8" s="989"/>
      <c r="J8" s="989"/>
      <c r="K8" s="561" t="s">
        <v>433</v>
      </c>
      <c r="L8" s="562" t="s">
        <v>456</v>
      </c>
    </row>
    <row r="9" spans="1:12" ht="18" customHeight="1" thickBot="1" x14ac:dyDescent="0.3">
      <c r="A9" s="994" t="s">
        <v>531</v>
      </c>
      <c r="B9" s="995"/>
      <c r="C9" s="995"/>
      <c r="D9" s="995"/>
      <c r="E9" s="995"/>
      <c r="F9" s="995"/>
      <c r="G9" s="995"/>
      <c r="H9" s="995"/>
      <c r="I9" s="995"/>
      <c r="J9" s="995"/>
      <c r="K9" s="995"/>
      <c r="L9" s="622">
        <f>'Aufwuchs I'!$L$46</f>
      </c>
    </row>
    <row r="10" spans="1:12" ht="18" customHeight="1" x14ac:dyDescent="0.2">
      <c r="A10" s="658"/>
      <c r="B10" s="659"/>
      <c r="C10" s="993"/>
      <c r="D10" s="993"/>
      <c r="E10" s="993"/>
      <c r="F10" s="993"/>
      <c r="G10" s="993"/>
      <c r="H10" s="993"/>
      <c r="I10" s="993"/>
      <c r="J10" s="993"/>
      <c r="K10" s="678"/>
      <c r="L10" s="679">
        <f t="shared" ref="L10:L45" si="0">ROUND(A10*K10,2)</f>
      </c>
    </row>
    <row r="11" spans="1:12" ht="18" customHeight="1" x14ac:dyDescent="0.2">
      <c r="A11" s="584"/>
      <c r="B11" s="577"/>
      <c r="C11" s="992"/>
      <c r="D11" s="992"/>
      <c r="E11" s="992"/>
      <c r="F11" s="992"/>
      <c r="G11" s="992"/>
      <c r="H11" s="992"/>
      <c r="I11" s="992"/>
      <c r="J11" s="992"/>
      <c r="K11" s="680"/>
      <c r="L11" s="681">
        <f t="shared" si="0"/>
      </c>
    </row>
    <row r="12" spans="1:12" ht="18" customHeight="1" x14ac:dyDescent="0.2">
      <c r="A12" s="584"/>
      <c r="B12" s="577"/>
      <c r="C12" s="992"/>
      <c r="D12" s="992"/>
      <c r="E12" s="992"/>
      <c r="F12" s="992"/>
      <c r="G12" s="992"/>
      <c r="H12" s="992"/>
      <c r="I12" s="992"/>
      <c r="J12" s="992"/>
      <c r="K12" s="680"/>
      <c r="L12" s="681">
        <f t="shared" si="0"/>
      </c>
    </row>
    <row r="13" spans="1:12" ht="18" customHeight="1" x14ac:dyDescent="0.2">
      <c r="A13" s="584"/>
      <c r="B13" s="577"/>
      <c r="C13" s="992"/>
      <c r="D13" s="992"/>
      <c r="E13" s="992"/>
      <c r="F13" s="992"/>
      <c r="G13" s="992"/>
      <c r="H13" s="992"/>
      <c r="I13" s="992"/>
      <c r="J13" s="992"/>
      <c r="K13" s="680"/>
      <c r="L13" s="681">
        <f t="shared" si="0"/>
      </c>
    </row>
    <row r="14" spans="1:12" ht="18" customHeight="1" x14ac:dyDescent="0.2">
      <c r="A14" s="584"/>
      <c r="B14" s="577"/>
      <c r="C14" s="992"/>
      <c r="D14" s="992"/>
      <c r="E14" s="992"/>
      <c r="F14" s="992"/>
      <c r="G14" s="992"/>
      <c r="H14" s="992"/>
      <c r="I14" s="992"/>
      <c r="J14" s="992"/>
      <c r="K14" s="680"/>
      <c r="L14" s="681">
        <f t="shared" si="0"/>
      </c>
    </row>
    <row r="15" spans="1:12" ht="18" customHeight="1" x14ac:dyDescent="0.2">
      <c r="A15" s="584"/>
      <c r="B15" s="577"/>
      <c r="C15" s="992"/>
      <c r="D15" s="992"/>
      <c r="E15" s="992"/>
      <c r="F15" s="992"/>
      <c r="G15" s="992"/>
      <c r="H15" s="992"/>
      <c r="I15" s="992"/>
      <c r="J15" s="992"/>
      <c r="K15" s="680"/>
      <c r="L15" s="681">
        <f t="shared" si="0"/>
      </c>
    </row>
    <row r="16" spans="1:12" ht="18" customHeight="1" x14ac:dyDescent="0.2">
      <c r="A16" s="584"/>
      <c r="B16" s="577"/>
      <c r="C16" s="992"/>
      <c r="D16" s="992"/>
      <c r="E16" s="992"/>
      <c r="F16" s="992"/>
      <c r="G16" s="992"/>
      <c r="H16" s="992"/>
      <c r="I16" s="992"/>
      <c r="J16" s="992"/>
      <c r="K16" s="680"/>
      <c r="L16" s="681">
        <f t="shared" si="0"/>
      </c>
    </row>
    <row r="17" spans="1:12" ht="18" customHeight="1" x14ac:dyDescent="0.2">
      <c r="A17" s="584"/>
      <c r="B17" s="577"/>
      <c r="C17" s="992"/>
      <c r="D17" s="992"/>
      <c r="E17" s="992"/>
      <c r="F17" s="992"/>
      <c r="G17" s="992"/>
      <c r="H17" s="992"/>
      <c r="I17" s="992"/>
      <c r="J17" s="992"/>
      <c r="K17" s="680"/>
      <c r="L17" s="681">
        <f t="shared" si="0"/>
      </c>
    </row>
    <row r="18" spans="1:12" ht="18" customHeight="1" x14ac:dyDescent="0.2">
      <c r="A18" s="584"/>
      <c r="B18" s="577"/>
      <c r="C18" s="992"/>
      <c r="D18" s="992"/>
      <c r="E18" s="992"/>
      <c r="F18" s="992"/>
      <c r="G18" s="992"/>
      <c r="H18" s="992"/>
      <c r="I18" s="992"/>
      <c r="J18" s="992"/>
      <c r="K18" s="680"/>
      <c r="L18" s="681">
        <f t="shared" si="0"/>
      </c>
    </row>
    <row r="19" spans="1:12" ht="18" customHeight="1" x14ac:dyDescent="0.2">
      <c r="A19" s="584"/>
      <c r="B19" s="577"/>
      <c r="C19" s="992"/>
      <c r="D19" s="992"/>
      <c r="E19" s="992"/>
      <c r="F19" s="992"/>
      <c r="G19" s="992"/>
      <c r="H19" s="992"/>
      <c r="I19" s="992"/>
      <c r="J19" s="992"/>
      <c r="K19" s="680"/>
      <c r="L19" s="681">
        <f t="shared" si="0"/>
      </c>
    </row>
    <row r="20" spans="1:12" ht="18" customHeight="1" x14ac:dyDescent="0.2">
      <c r="A20" s="584"/>
      <c r="B20" s="577"/>
      <c r="C20" s="992"/>
      <c r="D20" s="992"/>
      <c r="E20" s="992"/>
      <c r="F20" s="992"/>
      <c r="G20" s="992"/>
      <c r="H20" s="992"/>
      <c r="I20" s="992"/>
      <c r="J20" s="992"/>
      <c r="K20" s="680"/>
      <c r="L20" s="681">
        <f t="shared" si="0"/>
      </c>
    </row>
    <row r="21" spans="1:12" ht="18" customHeight="1" x14ac:dyDescent="0.2">
      <c r="A21" s="584"/>
      <c r="B21" s="577"/>
      <c r="C21" s="992"/>
      <c r="D21" s="992"/>
      <c r="E21" s="992"/>
      <c r="F21" s="992"/>
      <c r="G21" s="992"/>
      <c r="H21" s="992"/>
      <c r="I21" s="992"/>
      <c r="J21" s="992"/>
      <c r="K21" s="680"/>
      <c r="L21" s="681">
        <f t="shared" si="0"/>
      </c>
    </row>
    <row r="22" spans="1:12" ht="18" customHeight="1" x14ac:dyDescent="0.2">
      <c r="A22" s="584"/>
      <c r="B22" s="577"/>
      <c r="C22" s="992"/>
      <c r="D22" s="992"/>
      <c r="E22" s="992"/>
      <c r="F22" s="992"/>
      <c r="G22" s="992"/>
      <c r="H22" s="992"/>
      <c r="I22" s="992"/>
      <c r="J22" s="992"/>
      <c r="K22" s="680"/>
      <c r="L22" s="681">
        <f t="shared" si="0"/>
      </c>
    </row>
    <row r="23" spans="1:12" ht="18" customHeight="1" x14ac:dyDescent="0.2">
      <c r="A23" s="584"/>
      <c r="B23" s="577"/>
      <c r="C23" s="992"/>
      <c r="D23" s="992"/>
      <c r="E23" s="992"/>
      <c r="F23" s="992"/>
      <c r="G23" s="992"/>
      <c r="H23" s="992"/>
      <c r="I23" s="992"/>
      <c r="J23" s="992"/>
      <c r="K23" s="680"/>
      <c r="L23" s="681">
        <f t="shared" si="0"/>
      </c>
    </row>
    <row r="24" spans="1:12" ht="18" customHeight="1" x14ac:dyDescent="0.2">
      <c r="A24" s="584"/>
      <c r="B24" s="577"/>
      <c r="C24" s="992"/>
      <c r="D24" s="992"/>
      <c r="E24" s="992"/>
      <c r="F24" s="992"/>
      <c r="G24" s="992"/>
      <c r="H24" s="992"/>
      <c r="I24" s="992"/>
      <c r="J24" s="992"/>
      <c r="K24" s="680"/>
      <c r="L24" s="681">
        <f t="shared" si="0"/>
      </c>
    </row>
    <row r="25" spans="1:12" ht="18" customHeight="1" x14ac:dyDescent="0.2">
      <c r="A25" s="584"/>
      <c r="B25" s="577"/>
      <c r="C25" s="992"/>
      <c r="D25" s="992"/>
      <c r="E25" s="992"/>
      <c r="F25" s="992"/>
      <c r="G25" s="992"/>
      <c r="H25" s="992"/>
      <c r="I25" s="992"/>
      <c r="J25" s="992"/>
      <c r="K25" s="680"/>
      <c r="L25" s="681">
        <f t="shared" si="0"/>
      </c>
    </row>
    <row r="26" spans="1:12" ht="18" customHeight="1" x14ac:dyDescent="0.2">
      <c r="A26" s="584"/>
      <c r="B26" s="577"/>
      <c r="C26" s="992"/>
      <c r="D26" s="992"/>
      <c r="E26" s="992"/>
      <c r="F26" s="992"/>
      <c r="G26" s="992"/>
      <c r="H26" s="992"/>
      <c r="I26" s="992"/>
      <c r="J26" s="992"/>
      <c r="K26" s="680"/>
      <c r="L26" s="681">
        <f t="shared" si="0"/>
      </c>
    </row>
    <row r="27" spans="1:12" ht="18" customHeight="1" x14ac:dyDescent="0.2">
      <c r="A27" s="584"/>
      <c r="B27" s="577"/>
      <c r="C27" s="992"/>
      <c r="D27" s="992"/>
      <c r="E27" s="992"/>
      <c r="F27" s="992"/>
      <c r="G27" s="992"/>
      <c r="H27" s="992"/>
      <c r="I27" s="992"/>
      <c r="J27" s="992"/>
      <c r="K27" s="680"/>
      <c r="L27" s="681">
        <f t="shared" si="0"/>
      </c>
    </row>
    <row r="28" spans="1:12" ht="18" customHeight="1" x14ac:dyDescent="0.2">
      <c r="A28" s="584"/>
      <c r="B28" s="577"/>
      <c r="C28" s="992"/>
      <c r="D28" s="992"/>
      <c r="E28" s="992"/>
      <c r="F28" s="992"/>
      <c r="G28" s="992"/>
      <c r="H28" s="992"/>
      <c r="I28" s="992"/>
      <c r="J28" s="992"/>
      <c r="K28" s="680"/>
      <c r="L28" s="681">
        <f t="shared" si="0"/>
      </c>
    </row>
    <row r="29" spans="1:12" ht="18" customHeight="1" x14ac:dyDescent="0.2">
      <c r="A29" s="584"/>
      <c r="B29" s="577"/>
      <c r="C29" s="992"/>
      <c r="D29" s="992"/>
      <c r="E29" s="992"/>
      <c r="F29" s="992"/>
      <c r="G29" s="992"/>
      <c r="H29" s="992"/>
      <c r="I29" s="992"/>
      <c r="J29" s="992"/>
      <c r="K29" s="680"/>
      <c r="L29" s="681">
        <f t="shared" si="0"/>
      </c>
    </row>
    <row r="30" spans="1:12" ht="18" customHeight="1" x14ac:dyDescent="0.2">
      <c r="A30" s="584"/>
      <c r="B30" s="577"/>
      <c r="C30" s="992"/>
      <c r="D30" s="992"/>
      <c r="E30" s="992"/>
      <c r="F30" s="992"/>
      <c r="G30" s="992"/>
      <c r="H30" s="992"/>
      <c r="I30" s="992"/>
      <c r="J30" s="992"/>
      <c r="K30" s="680"/>
      <c r="L30" s="681">
        <f t="shared" si="0"/>
      </c>
    </row>
    <row r="31" spans="1:12" ht="18" customHeight="1" x14ac:dyDescent="0.2">
      <c r="A31" s="584"/>
      <c r="B31" s="577"/>
      <c r="C31" s="992"/>
      <c r="D31" s="992"/>
      <c r="E31" s="992"/>
      <c r="F31" s="992"/>
      <c r="G31" s="992"/>
      <c r="H31" s="992"/>
      <c r="I31" s="992"/>
      <c r="J31" s="992"/>
      <c r="K31" s="680"/>
      <c r="L31" s="681">
        <f t="shared" si="0"/>
      </c>
    </row>
    <row r="32" spans="1:12" ht="18" customHeight="1" x14ac:dyDescent="0.2">
      <c r="A32" s="584"/>
      <c r="B32" s="577"/>
      <c r="C32" s="992"/>
      <c r="D32" s="992"/>
      <c r="E32" s="992"/>
      <c r="F32" s="992"/>
      <c r="G32" s="992"/>
      <c r="H32" s="992"/>
      <c r="I32" s="992"/>
      <c r="J32" s="992"/>
      <c r="K32" s="680"/>
      <c r="L32" s="681">
        <f t="shared" si="0"/>
      </c>
    </row>
    <row r="33" spans="1:12" ht="18" customHeight="1" x14ac:dyDescent="0.2">
      <c r="A33" s="584"/>
      <c r="B33" s="577"/>
      <c r="C33" s="992"/>
      <c r="D33" s="992"/>
      <c r="E33" s="992"/>
      <c r="F33" s="992"/>
      <c r="G33" s="992"/>
      <c r="H33" s="992"/>
      <c r="I33" s="992"/>
      <c r="J33" s="992"/>
      <c r="K33" s="680"/>
      <c r="L33" s="681">
        <f t="shared" si="0"/>
      </c>
    </row>
    <row r="34" spans="1:12" ht="18" customHeight="1" x14ac:dyDescent="0.2">
      <c r="A34" s="584"/>
      <c r="B34" s="577"/>
      <c r="C34" s="992"/>
      <c r="D34" s="992"/>
      <c r="E34" s="992"/>
      <c r="F34" s="992"/>
      <c r="G34" s="992"/>
      <c r="H34" s="992"/>
      <c r="I34" s="992"/>
      <c r="J34" s="992"/>
      <c r="K34" s="680"/>
      <c r="L34" s="681">
        <f t="shared" si="0"/>
      </c>
    </row>
    <row r="35" spans="1:12" ht="18" customHeight="1" x14ac:dyDescent="0.2">
      <c r="A35" s="584"/>
      <c r="B35" s="577"/>
      <c r="C35" s="992"/>
      <c r="D35" s="992"/>
      <c r="E35" s="992"/>
      <c r="F35" s="992"/>
      <c r="G35" s="992"/>
      <c r="H35" s="992"/>
      <c r="I35" s="992"/>
      <c r="J35" s="992"/>
      <c r="K35" s="680"/>
      <c r="L35" s="681">
        <f t="shared" si="0"/>
      </c>
    </row>
    <row r="36" spans="1:12" ht="18" customHeight="1" x14ac:dyDescent="0.2">
      <c r="A36" s="584"/>
      <c r="B36" s="577"/>
      <c r="C36" s="992"/>
      <c r="D36" s="992"/>
      <c r="E36" s="992"/>
      <c r="F36" s="992"/>
      <c r="G36" s="992"/>
      <c r="H36" s="992"/>
      <c r="I36" s="992"/>
      <c r="J36" s="992"/>
      <c r="K36" s="680"/>
      <c r="L36" s="681">
        <f t="shared" si="0"/>
      </c>
    </row>
    <row r="37" spans="1:12" ht="18" customHeight="1" x14ac:dyDescent="0.2">
      <c r="A37" s="584"/>
      <c r="B37" s="577"/>
      <c r="C37" s="992"/>
      <c r="D37" s="992"/>
      <c r="E37" s="992"/>
      <c r="F37" s="992"/>
      <c r="G37" s="992"/>
      <c r="H37" s="992"/>
      <c r="I37" s="992"/>
      <c r="J37" s="992"/>
      <c r="K37" s="680"/>
      <c r="L37" s="681">
        <f t="shared" si="0"/>
      </c>
    </row>
    <row r="38" spans="1:12" ht="18" customHeight="1" x14ac:dyDescent="0.2">
      <c r="A38" s="584"/>
      <c r="B38" s="577"/>
      <c r="C38" s="992"/>
      <c r="D38" s="992"/>
      <c r="E38" s="992"/>
      <c r="F38" s="992"/>
      <c r="G38" s="992"/>
      <c r="H38" s="992"/>
      <c r="I38" s="992"/>
      <c r="J38" s="992"/>
      <c r="K38" s="680"/>
      <c r="L38" s="681">
        <f t="shared" si="0"/>
      </c>
    </row>
    <row r="39" spans="1:12" ht="18" customHeight="1" x14ac:dyDescent="0.2">
      <c r="A39" s="584"/>
      <c r="B39" s="577"/>
      <c r="C39" s="992"/>
      <c r="D39" s="992"/>
      <c r="E39" s="992"/>
      <c r="F39" s="992"/>
      <c r="G39" s="992"/>
      <c r="H39" s="992"/>
      <c r="I39" s="992"/>
      <c r="J39" s="992"/>
      <c r="K39" s="680"/>
      <c r="L39" s="681">
        <f t="shared" si="0"/>
      </c>
    </row>
    <row r="40" spans="1:12" ht="18" customHeight="1" x14ac:dyDescent="0.2">
      <c r="A40" s="584"/>
      <c r="B40" s="577"/>
      <c r="C40" s="992"/>
      <c r="D40" s="992"/>
      <c r="E40" s="992"/>
      <c r="F40" s="992"/>
      <c r="G40" s="992"/>
      <c r="H40" s="992"/>
      <c r="I40" s="992"/>
      <c r="J40" s="992"/>
      <c r="K40" s="680"/>
      <c r="L40" s="681">
        <f t="shared" si="0"/>
      </c>
    </row>
    <row r="41" spans="1:12" ht="18" customHeight="1" x14ac:dyDescent="0.2">
      <c r="A41" s="584"/>
      <c r="B41" s="577"/>
      <c r="C41" s="992"/>
      <c r="D41" s="992"/>
      <c r="E41" s="992"/>
      <c r="F41" s="992"/>
      <c r="G41" s="992"/>
      <c r="H41" s="992"/>
      <c r="I41" s="992"/>
      <c r="J41" s="992"/>
      <c r="K41" s="680"/>
      <c r="L41" s="681">
        <f t="shared" si="0"/>
      </c>
    </row>
    <row r="42" spans="1:12" ht="18" customHeight="1" x14ac:dyDescent="0.2">
      <c r="A42" s="584"/>
      <c r="B42" s="577"/>
      <c r="C42" s="992"/>
      <c r="D42" s="992"/>
      <c r="E42" s="992"/>
      <c r="F42" s="992"/>
      <c r="G42" s="992"/>
      <c r="H42" s="992"/>
      <c r="I42" s="992"/>
      <c r="J42" s="992"/>
      <c r="K42" s="680"/>
      <c r="L42" s="681">
        <f t="shared" si="0"/>
      </c>
    </row>
    <row r="43" spans="1:12" ht="18" customHeight="1" x14ac:dyDescent="0.2">
      <c r="A43" s="584"/>
      <c r="B43" s="577"/>
      <c r="C43" s="992"/>
      <c r="D43" s="992"/>
      <c r="E43" s="992"/>
      <c r="F43" s="992"/>
      <c r="G43" s="992"/>
      <c r="H43" s="992"/>
      <c r="I43" s="992"/>
      <c r="J43" s="992"/>
      <c r="K43" s="680"/>
      <c r="L43" s="681">
        <f t="shared" si="0"/>
      </c>
    </row>
    <row r="44" spans="1:12" ht="18" customHeight="1" x14ac:dyDescent="0.2">
      <c r="A44" s="584"/>
      <c r="B44" s="577"/>
      <c r="C44" s="992"/>
      <c r="D44" s="992"/>
      <c r="E44" s="992"/>
      <c r="F44" s="992"/>
      <c r="G44" s="992"/>
      <c r="H44" s="992"/>
      <c r="I44" s="992"/>
      <c r="J44" s="992"/>
      <c r="K44" s="680"/>
      <c r="L44" s="681">
        <f t="shared" si="0"/>
      </c>
    </row>
    <row r="45" spans="1:12" ht="18" customHeight="1" thickBot="1" x14ac:dyDescent="0.25">
      <c r="A45" s="585"/>
      <c r="B45" s="578"/>
      <c r="C45" s="1003"/>
      <c r="D45" s="1003"/>
      <c r="E45" s="1003"/>
      <c r="F45" s="1003"/>
      <c r="G45" s="1003"/>
      <c r="H45" s="1003"/>
      <c r="I45" s="1003"/>
      <c r="J45" s="1003"/>
      <c r="K45" s="682"/>
      <c r="L45" s="683">
        <f t="shared" si="0"/>
      </c>
    </row>
    <row r="46" spans="1:12" ht="16.149999999999999" customHeight="1" thickBot="1" x14ac:dyDescent="0.25">
      <c r="A46" s="330"/>
      <c r="B46" s="330"/>
      <c r="C46" s="330"/>
      <c r="D46" s="330"/>
      <c r="E46" s="330"/>
      <c r="F46" s="330"/>
      <c r="G46" s="330"/>
      <c r="H46" s="330"/>
      <c r="I46" s="1004" t="s">
        <v>546</v>
      </c>
      <c r="J46" s="1004"/>
      <c r="K46" s="1005"/>
      <c r="L46" s="657">
        <f>SUM(L9:L45)</f>
      </c>
    </row>
    <row r="47" spans="1:12" ht="16.899999999999999" customHeight="1" x14ac:dyDescent="0.2"/>
    <row r="48" spans="1:12" ht="16.899999999999999" customHeight="1" x14ac:dyDescent="0.25">
      <c r="A48" s="952" t="s">
        <v>34</v>
      </c>
      <c r="B48" s="952"/>
      <c r="C48" s="921">
        <f>Formalien!$E$15</f>
      </c>
      <c r="D48" s="795"/>
      <c r="E48" s="921" t="s">
        <v>121</v>
      </c>
      <c r="F48" s="795"/>
      <c r="G48" s="773">
        <f>Formalien!$E$13</f>
      </c>
      <c r="H48" s="773"/>
      <c r="I48" s="773"/>
      <c r="J48" s="872"/>
      <c r="L48" s="339" t="s">
        <v>567</v>
      </c>
    </row>
  </sheetData>
  <sheetProtection selectLockedCells="1"/>
  <mergeCells count="50">
    <mergeCell ref="A48:B48"/>
    <mergeCell ref="C39:J39"/>
    <mergeCell ref="C37:J37"/>
    <mergeCell ref="C38:J38"/>
    <mergeCell ref="C40:J40"/>
    <mergeCell ref="C44:J44"/>
    <mergeCell ref="C45:J45"/>
    <mergeCell ref="C41:J41"/>
    <mergeCell ref="C48:D48"/>
    <mergeCell ref="E48:F48"/>
    <mergeCell ref="G48:J48"/>
    <mergeCell ref="C42:J42"/>
    <mergeCell ref="C43:J43"/>
    <mergeCell ref="I46:K46"/>
    <mergeCell ref="C32:J32"/>
    <mergeCell ref="C33:J33"/>
    <mergeCell ref="C34:J34"/>
    <mergeCell ref="C35:J35"/>
    <mergeCell ref="C36:J36"/>
    <mergeCell ref="A2:C2"/>
    <mergeCell ref="A9:K9"/>
    <mergeCell ref="F3:I3"/>
    <mergeCell ref="K7:L7"/>
    <mergeCell ref="A7:A8"/>
    <mergeCell ref="B7:B8"/>
    <mergeCell ref="C7:J8"/>
    <mergeCell ref="D2:I2"/>
    <mergeCell ref="E4:I4"/>
    <mergeCell ref="C11:J11"/>
    <mergeCell ref="C10:J10"/>
    <mergeCell ref="C29:J29"/>
    <mergeCell ref="C19:J19"/>
    <mergeCell ref="C20:J20"/>
    <mergeCell ref="C26:J26"/>
    <mergeCell ref="C27:J27"/>
    <mergeCell ref="C12:J12"/>
    <mergeCell ref="C13:J13"/>
    <mergeCell ref="C14:J14"/>
    <mergeCell ref="C15:J15"/>
    <mergeCell ref="C21:J21"/>
    <mergeCell ref="C22:J22"/>
    <mergeCell ref="C23:J23"/>
    <mergeCell ref="C24:J24"/>
    <mergeCell ref="C25:J25"/>
    <mergeCell ref="C30:J30"/>
    <mergeCell ref="C31:J31"/>
    <mergeCell ref="C16:J16"/>
    <mergeCell ref="C17:J17"/>
    <mergeCell ref="C18:J18"/>
    <mergeCell ref="C28:J28"/>
  </mergeCells>
  <pageMargins left="0.78740157480314965" right="0.19685039370078741" top="0.78740157480314965" bottom="0.78740157480314965" header="0.31496062992125984" footer="0.31496062992125984"/>
  <pageSetup paperSize="9" scale="85" orientation="portrait" verticalDpi="3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I50"/>
  <sheetViews>
    <sheetView showZeros="0" topLeftCell="A40" zoomScaleNormal="100" workbookViewId="0">
      <selection activeCell="H56" sqref="H56"/>
    </sheetView>
  </sheetViews>
  <sheetFormatPr baseColWidth="10" defaultColWidth="11.5703125" defaultRowHeight="12.75" x14ac:dyDescent="0.2"/>
  <cols>
    <col min="1" max="2" width="11.5703125" style="1"/>
    <col min="3" max="3" width="9.28515625" style="1" customWidth="1"/>
    <col min="4" max="4" width="11.85546875" style="1" customWidth="1"/>
    <col min="5" max="5" width="9.140625" style="1" customWidth="1"/>
    <col min="6" max="6" width="11.5703125" style="1"/>
    <col min="7" max="7" width="20.85546875" style="1" customWidth="1"/>
    <col min="8" max="16384" width="11.5703125" style="1"/>
  </cols>
  <sheetData>
    <row r="1" spans="1:9" ht="15.75" x14ac:dyDescent="0.25">
      <c r="A1" s="329" t="s">
        <v>138</v>
      </c>
      <c r="B1" s="331"/>
      <c r="C1" s="331"/>
      <c r="D1" s="331"/>
      <c r="E1" s="331"/>
      <c r="F1" s="331"/>
      <c r="G1" s="331"/>
    </row>
    <row r="2" spans="1:9" ht="15" x14ac:dyDescent="0.25">
      <c r="A2" s="849" t="s">
        <v>1</v>
      </c>
      <c r="B2" s="850"/>
      <c r="C2" s="850"/>
      <c r="D2" s="858">
        <f>Formalien!$E$3</f>
        <v>0</v>
      </c>
      <c r="E2" s="859"/>
      <c r="F2" s="363" t="s">
        <v>3</v>
      </c>
      <c r="G2" s="369">
        <f>Formalien!$E$4</f>
        <v>0</v>
      </c>
      <c r="H2" s="369"/>
      <c r="I2" s="340"/>
    </row>
    <row r="3" spans="1:9" ht="15" x14ac:dyDescent="0.25">
      <c r="A3" s="849" t="s">
        <v>65</v>
      </c>
      <c r="B3" s="795"/>
      <c r="C3" s="795"/>
      <c r="D3" s="366">
        <f>Formalien!$E$16</f>
        <v>0</v>
      </c>
      <c r="E3" s="364" t="s">
        <v>61</v>
      </c>
      <c r="F3" s="365"/>
      <c r="G3" s="341"/>
      <c r="H3" s="341"/>
      <c r="I3" s="340"/>
    </row>
    <row r="4" spans="1:9" ht="15" x14ac:dyDescent="0.25">
      <c r="A4" s="849" t="s">
        <v>0</v>
      </c>
      <c r="B4" s="795"/>
      <c r="C4" s="795"/>
      <c r="D4" s="336">
        <f>Formalien!$E$6</f>
        <v>0</v>
      </c>
      <c r="E4" s="364"/>
      <c r="F4" s="344"/>
      <c r="G4" s="344"/>
      <c r="H4" s="344"/>
      <c r="I4" s="345"/>
    </row>
    <row r="5" spans="1:9" ht="15" x14ac:dyDescent="0.25">
      <c r="A5" s="364"/>
      <c r="B5" s="371"/>
      <c r="C5" s="371"/>
      <c r="D5" s="336"/>
      <c r="E5" s="364"/>
      <c r="F5" s="344"/>
      <c r="G5" s="344"/>
      <c r="H5" s="344"/>
      <c r="I5" s="345"/>
    </row>
    <row r="6" spans="1:9" ht="15" x14ac:dyDescent="0.25">
      <c r="A6" s="202" t="s">
        <v>144</v>
      </c>
      <c r="B6" s="202"/>
      <c r="C6" s="202"/>
      <c r="D6" s="202"/>
      <c r="E6" s="202"/>
      <c r="F6" s="202"/>
      <c r="G6" s="332">
        <f>Formalien!$E$14</f>
        <v>0</v>
      </c>
    </row>
    <row r="7" spans="1:9" ht="15" x14ac:dyDescent="0.25">
      <c r="A7" s="331"/>
      <c r="B7" s="193"/>
      <c r="C7" s="193"/>
      <c r="D7" s="193"/>
      <c r="E7" s="193"/>
      <c r="F7" s="193"/>
      <c r="G7" s="193"/>
    </row>
    <row r="8" spans="1:9" ht="15" x14ac:dyDescent="0.25">
      <c r="A8" s="193" t="s">
        <v>431</v>
      </c>
      <c r="B8" s="193"/>
      <c r="C8" s="193"/>
      <c r="D8" s="193"/>
      <c r="E8" s="193"/>
      <c r="F8" s="193"/>
      <c r="G8" s="193"/>
    </row>
    <row r="9" spans="1:9" ht="15" x14ac:dyDescent="0.25">
      <c r="A9" s="193" t="s">
        <v>430</v>
      </c>
      <c r="B9" s="331"/>
      <c r="C9" s="331"/>
      <c r="D9" s="331"/>
      <c r="E9" s="331"/>
      <c r="F9" s="331"/>
      <c r="G9" s="331"/>
    </row>
    <row r="10" spans="1:9" ht="15" x14ac:dyDescent="0.25">
      <c r="A10" s="193" t="s">
        <v>112</v>
      </c>
      <c r="B10" s="193"/>
      <c r="C10" s="193"/>
      <c r="D10" s="333">
        <f>F50</f>
        <v>0</v>
      </c>
      <c r="E10" s="193" t="s">
        <v>113</v>
      </c>
      <c r="F10" s="193"/>
      <c r="G10" s="193"/>
    </row>
    <row r="11" spans="1:9" ht="15" x14ac:dyDescent="0.25">
      <c r="A11" s="193" t="s">
        <v>432</v>
      </c>
      <c r="B11" s="193"/>
      <c r="C11" s="193"/>
      <c r="D11" s="361"/>
      <c r="E11" s="193"/>
      <c r="F11" s="193"/>
      <c r="G11" s="193"/>
    </row>
    <row r="12" spans="1:9" ht="13.9" customHeight="1" x14ac:dyDescent="0.2">
      <c r="A12" s="1006"/>
      <c r="B12" s="1006"/>
      <c r="C12" s="1006"/>
      <c r="D12" s="1006"/>
      <c r="E12" s="1006"/>
      <c r="F12" s="1006"/>
      <c r="G12" s="1006"/>
    </row>
    <row r="13" spans="1:9" ht="13.9" customHeight="1" x14ac:dyDescent="0.2">
      <c r="A13" s="1006"/>
      <c r="B13" s="1006"/>
      <c r="C13" s="1006"/>
      <c r="D13" s="1006"/>
      <c r="E13" s="1006"/>
      <c r="F13" s="1006"/>
      <c r="G13" s="1006"/>
    </row>
    <row r="14" spans="1:9" ht="13.9" customHeight="1" x14ac:dyDescent="0.2">
      <c r="A14" s="1006"/>
      <c r="B14" s="1006"/>
      <c r="C14" s="1006"/>
      <c r="D14" s="1006"/>
      <c r="E14" s="1006"/>
      <c r="F14" s="1006"/>
      <c r="G14" s="1006"/>
    </row>
    <row r="15" spans="1:9" ht="13.9" customHeight="1" x14ac:dyDescent="0.2">
      <c r="A15" s="1006"/>
      <c r="B15" s="1006"/>
      <c r="C15" s="1006"/>
      <c r="D15" s="1006"/>
      <c r="E15" s="1006"/>
      <c r="F15" s="1006"/>
      <c r="G15" s="1006"/>
    </row>
    <row r="16" spans="1:9" ht="13.9" customHeight="1" x14ac:dyDescent="0.2">
      <c r="A16" s="1006"/>
      <c r="B16" s="1006"/>
      <c r="C16" s="1006"/>
      <c r="D16" s="1006"/>
      <c r="E16" s="1006"/>
      <c r="F16" s="1006"/>
      <c r="G16" s="1006"/>
    </row>
    <row r="17" spans="1:7" ht="13.9" customHeight="1" x14ac:dyDescent="0.2">
      <c r="A17" s="1006"/>
      <c r="B17" s="1006"/>
      <c r="C17" s="1006"/>
      <c r="D17" s="1006"/>
      <c r="E17" s="1006"/>
      <c r="F17" s="1006"/>
      <c r="G17" s="1006"/>
    </row>
    <row r="18" spans="1:7" ht="13.9" customHeight="1" x14ac:dyDescent="0.2">
      <c r="A18" s="1007" t="s">
        <v>407</v>
      </c>
      <c r="B18" s="1007"/>
      <c r="C18" s="1007"/>
      <c r="D18" s="1007"/>
      <c r="E18" s="1007"/>
      <c r="F18" s="1007"/>
      <c r="G18" s="1007"/>
    </row>
    <row r="19" spans="1:7" ht="13.9" customHeight="1" x14ac:dyDescent="0.2">
      <c r="A19" s="1007"/>
      <c r="B19" s="1007"/>
      <c r="C19" s="1007"/>
      <c r="D19" s="1007"/>
      <c r="E19" s="1007"/>
      <c r="F19" s="1007"/>
      <c r="G19" s="1007"/>
    </row>
    <row r="20" spans="1:7" ht="13.9" customHeight="1" x14ac:dyDescent="0.2">
      <c r="A20" s="1007"/>
      <c r="B20" s="1007"/>
      <c r="C20" s="1007"/>
      <c r="D20" s="1007"/>
      <c r="E20" s="1007"/>
      <c r="F20" s="1007"/>
      <c r="G20" s="1007"/>
    </row>
    <row r="21" spans="1:7" ht="13.9" customHeight="1" x14ac:dyDescent="0.2">
      <c r="A21" s="1010"/>
      <c r="B21" s="1010"/>
      <c r="C21" s="1010"/>
      <c r="D21" s="1010"/>
      <c r="E21" s="1010"/>
      <c r="F21" s="1010"/>
      <c r="G21" s="1010"/>
    </row>
    <row r="22" spans="1:7" ht="13.9" customHeight="1" x14ac:dyDescent="0.2">
      <c r="A22" s="1010"/>
      <c r="B22" s="1010"/>
      <c r="C22" s="1010"/>
      <c r="D22" s="1010"/>
      <c r="E22" s="1010"/>
      <c r="F22" s="1010"/>
      <c r="G22" s="1010"/>
    </row>
    <row r="23" spans="1:7" ht="13.9" customHeight="1" x14ac:dyDescent="0.2">
      <c r="A23" s="1010"/>
      <c r="B23" s="1010"/>
      <c r="C23" s="1010"/>
      <c r="D23" s="1010"/>
      <c r="E23" s="1010"/>
      <c r="F23" s="1010"/>
      <c r="G23" s="1010"/>
    </row>
    <row r="24" spans="1:7" ht="13.9" customHeight="1" x14ac:dyDescent="0.2">
      <c r="A24" s="1010"/>
      <c r="B24" s="1010"/>
      <c r="C24" s="1010"/>
      <c r="D24" s="1010"/>
      <c r="E24" s="1010"/>
      <c r="F24" s="1010"/>
      <c r="G24" s="1010"/>
    </row>
    <row r="25" spans="1:7" ht="13.9" customHeight="1" x14ac:dyDescent="0.2">
      <c r="A25" s="1010"/>
      <c r="B25" s="1010"/>
      <c r="C25" s="1010"/>
      <c r="D25" s="1010"/>
      <c r="E25" s="1010"/>
      <c r="F25" s="1010"/>
      <c r="G25" s="1010"/>
    </row>
    <row r="26" spans="1:7" ht="13.9" customHeight="1" x14ac:dyDescent="0.2">
      <c r="A26" s="1011" t="s">
        <v>408</v>
      </c>
      <c r="B26" s="1011"/>
      <c r="C26" s="1011"/>
      <c r="D26" s="1011"/>
      <c r="E26" s="1011"/>
      <c r="F26" s="1011"/>
      <c r="G26" s="1011"/>
    </row>
    <row r="27" spans="1:7" ht="13.9" customHeight="1" x14ac:dyDescent="0.2">
      <c r="A27" s="1011"/>
      <c r="B27" s="1011"/>
      <c r="C27" s="1011"/>
      <c r="D27" s="1011"/>
      <c r="E27" s="1011"/>
      <c r="F27" s="1011"/>
      <c r="G27" s="1011"/>
    </row>
    <row r="28" spans="1:7" ht="13.9" customHeight="1" x14ac:dyDescent="0.2">
      <c r="A28" s="1011"/>
      <c r="B28" s="1011"/>
      <c r="C28" s="1011"/>
      <c r="D28" s="1011"/>
      <c r="E28" s="1011"/>
      <c r="F28" s="1011"/>
      <c r="G28" s="1011"/>
    </row>
    <row r="29" spans="1:7" ht="13.9" customHeight="1" x14ac:dyDescent="0.2">
      <c r="A29" s="1011"/>
      <c r="B29" s="1011"/>
      <c r="C29" s="1011"/>
      <c r="D29" s="1011"/>
      <c r="E29" s="1011"/>
      <c r="F29" s="1011"/>
      <c r="G29" s="1011"/>
    </row>
    <row r="30" spans="1:7" ht="13.9" customHeight="1" x14ac:dyDescent="0.2">
      <c r="A30" s="1011"/>
      <c r="B30" s="1011"/>
      <c r="C30" s="1011"/>
      <c r="D30" s="1011"/>
      <c r="E30" s="1011"/>
      <c r="F30" s="1011"/>
      <c r="G30" s="1011"/>
    </row>
    <row r="31" spans="1:7" ht="13.9" customHeight="1" x14ac:dyDescent="0.2">
      <c r="A31" s="1011"/>
      <c r="B31" s="1011"/>
      <c r="C31" s="1011"/>
      <c r="D31" s="1011"/>
      <c r="E31" s="1011"/>
      <c r="F31" s="1011"/>
      <c r="G31" s="1011"/>
    </row>
    <row r="32" spans="1:7" ht="13.9" customHeight="1" x14ac:dyDescent="0.2">
      <c r="A32" s="1011"/>
      <c r="B32" s="1011"/>
      <c r="C32" s="1011"/>
      <c r="D32" s="1011"/>
      <c r="E32" s="1011"/>
      <c r="F32" s="1011"/>
      <c r="G32" s="1011"/>
    </row>
    <row r="33" spans="1:7" ht="13.9" customHeight="1" x14ac:dyDescent="0.2">
      <c r="A33" s="1011"/>
      <c r="B33" s="1011"/>
      <c r="C33" s="1011"/>
      <c r="D33" s="1011"/>
      <c r="E33" s="1011"/>
      <c r="F33" s="1011"/>
      <c r="G33" s="1011"/>
    </row>
    <row r="34" spans="1:7" ht="13.9" customHeight="1" x14ac:dyDescent="0.2">
      <c r="A34" s="1011"/>
      <c r="B34" s="1011"/>
      <c r="C34" s="1011"/>
      <c r="D34" s="1011"/>
      <c r="E34" s="1011"/>
      <c r="F34" s="1011"/>
      <c r="G34" s="1011"/>
    </row>
    <row r="35" spans="1:7" ht="13.9" customHeight="1" x14ac:dyDescent="0.2">
      <c r="A35" s="1011"/>
      <c r="B35" s="1011"/>
      <c r="C35" s="1011"/>
      <c r="D35" s="1011"/>
      <c r="E35" s="1011"/>
      <c r="F35" s="1011"/>
      <c r="G35" s="1011"/>
    </row>
    <row r="36" spans="1:7" ht="13.9" customHeight="1" x14ac:dyDescent="0.2">
      <c r="A36" s="1011"/>
      <c r="B36" s="1011"/>
      <c r="C36" s="1011"/>
      <c r="D36" s="1011"/>
      <c r="E36" s="1011"/>
      <c r="F36" s="1011"/>
      <c r="G36" s="1011"/>
    </row>
    <row r="37" spans="1:7" ht="13.9" customHeight="1" x14ac:dyDescent="0.2">
      <c r="A37" s="1012"/>
      <c r="B37" s="1012"/>
      <c r="C37" s="1012"/>
      <c r="D37" s="1012"/>
      <c r="E37" s="1012"/>
      <c r="F37" s="1012"/>
      <c r="G37" s="1012"/>
    </row>
    <row r="38" spans="1:7" ht="13.9" customHeight="1" x14ac:dyDescent="0.2">
      <c r="A38" s="1012"/>
      <c r="B38" s="1012"/>
      <c r="C38" s="1012"/>
      <c r="D38" s="1012"/>
      <c r="E38" s="1012"/>
      <c r="F38" s="1012"/>
      <c r="G38" s="1012"/>
    </row>
    <row r="39" spans="1:7" ht="13.9" customHeight="1" x14ac:dyDescent="0.2">
      <c r="A39" s="1012"/>
      <c r="B39" s="1012"/>
      <c r="C39" s="1012"/>
      <c r="D39" s="1012"/>
      <c r="E39" s="1012"/>
      <c r="F39" s="1012"/>
      <c r="G39" s="1012"/>
    </row>
    <row r="40" spans="1:7" ht="13.9" customHeight="1" x14ac:dyDescent="0.2">
      <c r="A40" s="1012"/>
      <c r="B40" s="1012"/>
      <c r="C40" s="1012"/>
      <c r="D40" s="1012"/>
      <c r="E40" s="1012"/>
      <c r="F40" s="1012"/>
      <c r="G40" s="1012"/>
    </row>
    <row r="41" spans="1:7" ht="13.9" customHeight="1" x14ac:dyDescent="0.2">
      <c r="A41" s="1012"/>
      <c r="B41" s="1012"/>
      <c r="C41" s="1012"/>
      <c r="D41" s="1012"/>
      <c r="E41" s="1012"/>
      <c r="F41" s="1012"/>
      <c r="G41" s="1012"/>
    </row>
    <row r="42" spans="1:7" ht="13.9" customHeight="1" x14ac:dyDescent="0.2">
      <c r="A42" s="1012"/>
      <c r="B42" s="1012"/>
      <c r="C42" s="1012"/>
      <c r="D42" s="1012"/>
      <c r="E42" s="1012"/>
      <c r="F42" s="1012"/>
      <c r="G42" s="1012"/>
    </row>
    <row r="43" spans="1:7" ht="13.9" customHeight="1" x14ac:dyDescent="0.2">
      <c r="A43" s="37"/>
      <c r="B43" s="1009"/>
      <c r="C43" s="1009"/>
      <c r="D43" s="37"/>
      <c r="E43" s="37"/>
      <c r="F43" s="37"/>
      <c r="G43" s="37"/>
    </row>
    <row r="44" spans="1:7" ht="13.9" customHeight="1" x14ac:dyDescent="0.2">
      <c r="A44" s="37"/>
      <c r="B44" s="37"/>
      <c r="C44" s="37"/>
      <c r="D44" s="37"/>
      <c r="E44" s="37"/>
      <c r="F44" s="37"/>
      <c r="G44" s="37"/>
    </row>
    <row r="45" spans="1:7" ht="13.9" customHeight="1" x14ac:dyDescent="0.2">
      <c r="A45" s="37"/>
      <c r="B45" s="37"/>
      <c r="C45" s="37"/>
      <c r="D45" s="37"/>
      <c r="E45" s="37"/>
      <c r="F45" s="37"/>
      <c r="G45" s="37"/>
    </row>
    <row r="46" spans="1:7" ht="14.25" x14ac:dyDescent="0.2">
      <c r="A46" s="37"/>
      <c r="B46" s="37"/>
      <c r="C46" s="37"/>
      <c r="D46" s="37"/>
      <c r="E46" s="37"/>
      <c r="F46" s="38"/>
      <c r="G46" s="38"/>
    </row>
    <row r="47" spans="1:7" ht="14.25" x14ac:dyDescent="0.2">
      <c r="A47" s="37"/>
      <c r="B47" s="37"/>
      <c r="C47" s="37"/>
      <c r="D47" s="37"/>
      <c r="E47" s="37"/>
      <c r="F47" s="38"/>
      <c r="G47" s="38"/>
    </row>
    <row r="48" spans="1:7" ht="15" x14ac:dyDescent="0.25">
      <c r="A48" s="3" t="s">
        <v>114</v>
      </c>
      <c r="B48" s="203"/>
      <c r="C48" s="1" t="s">
        <v>22</v>
      </c>
      <c r="D48" s="3" t="s">
        <v>23</v>
      </c>
      <c r="E48" s="205"/>
      <c r="F48" s="1" t="s">
        <v>115</v>
      </c>
    </row>
    <row r="49" spans="1:6" ht="15" x14ac:dyDescent="0.25">
      <c r="A49" s="3" t="s">
        <v>24</v>
      </c>
      <c r="B49" s="39">
        <f>ROUND(B48*3,0)</f>
        <v>0</v>
      </c>
      <c r="C49" s="1008" t="s">
        <v>197</v>
      </c>
      <c r="D49" s="1008"/>
      <c r="E49" s="40">
        <f>ROUND(E48-E48*B49%,2)</f>
        <v>0</v>
      </c>
      <c r="F49" s="1" t="s">
        <v>115</v>
      </c>
    </row>
    <row r="50" spans="1:6" x14ac:dyDescent="0.2">
      <c r="B50" s="5">
        <f>E49</f>
        <v>0</v>
      </c>
      <c r="C50" s="14" t="s">
        <v>8</v>
      </c>
      <c r="D50" s="204"/>
      <c r="E50" s="1" t="s">
        <v>26</v>
      </c>
      <c r="F50" s="41">
        <f>ROUND(B50*D50,2)</f>
        <v>0</v>
      </c>
    </row>
  </sheetData>
  <sheetProtection selectLockedCells="1"/>
  <mergeCells count="11">
    <mergeCell ref="C49:D49"/>
    <mergeCell ref="B43:C43"/>
    <mergeCell ref="A21:G25"/>
    <mergeCell ref="A26:G36"/>
    <mergeCell ref="A37:G42"/>
    <mergeCell ref="A12:G17"/>
    <mergeCell ref="A18:G20"/>
    <mergeCell ref="A2:C2"/>
    <mergeCell ref="D2:E2"/>
    <mergeCell ref="A3:C3"/>
    <mergeCell ref="A4:C4"/>
  </mergeCells>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B5950-B1C5-4B81-9DC3-DCAA27EC403C}">
  <sheetPr>
    <tabColor theme="7" tint="0.59999389629810485"/>
  </sheetPr>
  <dimension ref="A1:X141"/>
  <sheetViews>
    <sheetView showZeros="0" zoomScaleNormal="100" workbookViewId="0">
      <selection activeCell="L57" sqref="L57"/>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7.28515625" style="1" customWidth="1"/>
    <col min="10" max="10" width="21.7109375"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08"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08"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08"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08"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088" t="e">
        <f>#REF!</f>
        <v>#REF!</v>
      </c>
      <c r="C27" s="1045"/>
      <c r="D27" s="1045"/>
      <c r="E27" s="1045"/>
      <c r="F27" s="1045"/>
      <c r="G27" s="1045"/>
      <c r="H27" s="1045"/>
      <c r="I27" s="1045"/>
      <c r="J27" s="1089"/>
      <c r="K27" s="19"/>
    </row>
    <row r="28" spans="1:24" x14ac:dyDescent="0.2">
      <c r="A28" s="19"/>
      <c r="B28" s="1088"/>
      <c r="C28" s="1045"/>
      <c r="D28" s="1045"/>
      <c r="E28" s="1045"/>
      <c r="F28" s="1045"/>
      <c r="G28" s="1045"/>
      <c r="H28" s="1045"/>
      <c r="I28" s="1045"/>
      <c r="J28" s="1089"/>
      <c r="K28" s="19"/>
    </row>
    <row r="29" spans="1:24" ht="15" customHeight="1" thickBot="1" x14ac:dyDescent="0.25">
      <c r="A29" s="19"/>
      <c r="B29" s="1090"/>
      <c r="C29" s="1091"/>
      <c r="D29" s="1091"/>
      <c r="E29" s="1091"/>
      <c r="F29" s="1091"/>
      <c r="G29" s="1091"/>
      <c r="H29" s="1091"/>
      <c r="I29" s="1091"/>
      <c r="J29" s="1092"/>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39" spans="1:24" ht="15.6" customHeight="1" x14ac:dyDescent="0.2">
      <c r="V39" s="11"/>
      <c r="W39" s="11"/>
      <c r="X39" s="11"/>
    </row>
    <row r="40" spans="1:24" x14ac:dyDescent="0.2">
      <c r="V40" s="8"/>
      <c r="W40" s="8"/>
    </row>
    <row r="41" spans="1:24" ht="14.45" customHeight="1" x14ac:dyDescent="0.2"/>
    <row r="44" spans="1:24" ht="14.45" customHeight="1" x14ac:dyDescent="0.2">
      <c r="A44" s="8" t="s">
        <v>81</v>
      </c>
      <c r="B44" s="8" t="s">
        <v>195</v>
      </c>
    </row>
    <row r="45" spans="1:24" ht="12.75" customHeight="1" thickBot="1" x14ac:dyDescent="0.25">
      <c r="A45" s="21" t="s">
        <v>82</v>
      </c>
      <c r="B45" s="102" t="e">
        <f>#REF!</f>
        <v>#REF!</v>
      </c>
      <c r="C45" s="1084" t="e">
        <f>#REF!</f>
        <v>#REF!</v>
      </c>
      <c r="D45" s="1084"/>
      <c r="E45" s="1084"/>
      <c r="F45" s="1" t="e">
        <f>#REF!</f>
        <v>#REF!</v>
      </c>
      <c r="G45" s="105" t="e">
        <f>#REF!</f>
        <v>#REF!</v>
      </c>
      <c r="H45" s="3" t="e">
        <f>#REF!</f>
        <v>#REF!</v>
      </c>
      <c r="I45" s="1060" t="e">
        <f>#REF!</f>
        <v>#REF!</v>
      </c>
      <c r="J45" s="1060"/>
      <c r="K45" s="13"/>
      <c r="W45" s="68"/>
    </row>
    <row r="46" spans="1:24" ht="13.5" thickBot="1" x14ac:dyDescent="0.25">
      <c r="A46" s="21" t="s">
        <v>83</v>
      </c>
      <c r="B46" s="102" t="e">
        <f>#REF!</f>
        <v>#REF!</v>
      </c>
      <c r="C46" s="1084" t="e">
        <f>#REF!</f>
        <v>#REF!</v>
      </c>
      <c r="D46" s="1084"/>
      <c r="E46" s="1084"/>
      <c r="F46" s="1" t="e">
        <f>#REF!</f>
        <v>#REF!</v>
      </c>
      <c r="G46" s="105" t="e">
        <f>#REF!</f>
        <v>#REF!</v>
      </c>
      <c r="H46" s="3" t="e">
        <f>#REF!</f>
        <v>#REF!</v>
      </c>
      <c r="I46" s="1060" t="e">
        <f>#REF!</f>
        <v>#REF!</v>
      </c>
      <c r="J46" s="1060"/>
      <c r="K46" s="13"/>
      <c r="V46" s="112"/>
      <c r="W46" s="112"/>
      <c r="X46" s="8"/>
    </row>
    <row r="47" spans="1:24" ht="13.5" thickBot="1" x14ac:dyDescent="0.25">
      <c r="A47" s="1" t="s">
        <v>84</v>
      </c>
      <c r="B47" s="102" t="e">
        <f>#REF!</f>
        <v>#REF!</v>
      </c>
      <c r="C47" s="1084" t="e">
        <f>#REF!</f>
        <v>#REF!</v>
      </c>
      <c r="D47" s="1084"/>
      <c r="E47" s="1084"/>
      <c r="F47" s="1" t="e">
        <f>#REF!</f>
        <v>#REF!</v>
      </c>
      <c r="G47" s="150" t="e">
        <f>#REF!</f>
        <v>#REF!</v>
      </c>
      <c r="H47" s="3" t="e">
        <f>#REF!</f>
        <v>#REF!</v>
      </c>
      <c r="I47" s="1060" t="e">
        <f>#REF!</f>
        <v>#REF!</v>
      </c>
      <c r="J47" s="1060"/>
      <c r="K47" s="13"/>
      <c r="W47" s="68"/>
    </row>
    <row r="48" spans="1:24" ht="13.5" thickBot="1" x14ac:dyDescent="0.25">
      <c r="A48" s="1" t="s">
        <v>85</v>
      </c>
      <c r="B48" s="102" t="e">
        <f>#REF!</f>
        <v>#REF!</v>
      </c>
      <c r="C48" s="1084" t="e">
        <f>#REF!</f>
        <v>#REF!</v>
      </c>
      <c r="D48" s="1084"/>
      <c r="E48" s="1084"/>
      <c r="F48" s="1" t="e">
        <f>#REF!</f>
        <v>#REF!</v>
      </c>
      <c r="G48" s="150" t="e">
        <f>#REF!</f>
        <v>#REF!</v>
      </c>
      <c r="H48" s="3" t="e">
        <f>#REF!</f>
        <v>#REF!</v>
      </c>
      <c r="I48" s="1060" t="e">
        <f>#REF!</f>
        <v>#REF!</v>
      </c>
      <c r="J48" s="1060"/>
      <c r="K48" s="13"/>
      <c r="V48" s="112"/>
      <c r="W48" s="112"/>
      <c r="X48" s="8"/>
    </row>
    <row r="49" spans="1:24" ht="14.45" customHeight="1" thickBot="1" x14ac:dyDescent="0.25">
      <c r="A49" s="7" t="s">
        <v>187</v>
      </c>
      <c r="B49" s="71" t="e">
        <f>#REF!</f>
        <v>#REF!</v>
      </c>
      <c r="C49" s="72"/>
      <c r="D49" s="72"/>
      <c r="E49" s="1027" t="e">
        <f>#REF!</f>
        <v>#REF!</v>
      </c>
      <c r="F49" s="1027"/>
      <c r="G49" s="1075"/>
      <c r="H49" s="1075"/>
      <c r="I49" s="1076"/>
      <c r="J49" s="106" t="e">
        <f>#REF!</f>
        <v>#REF!</v>
      </c>
      <c r="K49" s="13"/>
      <c r="W49" s="68"/>
    </row>
    <row r="50" spans="1:24" ht="14.45" customHeight="1" thickBot="1" x14ac:dyDescent="0.25">
      <c r="A50" s="7" t="s">
        <v>86</v>
      </c>
      <c r="B50" s="107" t="e">
        <f>#REF!</f>
        <v>#REF!</v>
      </c>
      <c r="C50" s="1077" t="e">
        <f>#REF!</f>
        <v>#REF!</v>
      </c>
      <c r="D50" s="1077"/>
      <c r="E50" s="1078"/>
      <c r="F50" s="1078"/>
      <c r="G50" s="1079"/>
      <c r="H50" s="3" t="e">
        <f>#REF!</f>
        <v>#REF!</v>
      </c>
      <c r="I50" s="1080" t="e">
        <f>#REF!</f>
        <v>#REF!</v>
      </c>
      <c r="J50" s="1081"/>
      <c r="K50" s="13"/>
      <c r="V50" s="112"/>
      <c r="W50" s="112"/>
      <c r="X50" s="8"/>
    </row>
    <row r="51" spans="1:24" ht="14.45" customHeight="1" thickBot="1" x14ac:dyDescent="0.25">
      <c r="A51" s="1" t="s">
        <v>193</v>
      </c>
      <c r="B51" s="113" t="e">
        <f>#REF!</f>
        <v>#REF!</v>
      </c>
      <c r="C51" s="1082" t="e">
        <f>#REF!</f>
        <v>#REF!</v>
      </c>
      <c r="D51" s="1082"/>
      <c r="E51" s="1082"/>
      <c r="F51" s="1082"/>
      <c r="G51" s="1082"/>
      <c r="H51" s="3" t="e">
        <f>#REF!</f>
        <v>#REF!</v>
      </c>
      <c r="I51" s="1083" t="e">
        <f>#REF!</f>
        <v>#REF!</v>
      </c>
      <c r="J51" s="1083"/>
    </row>
    <row r="52" spans="1:24" ht="18" customHeight="1" thickBot="1" x14ac:dyDescent="0.25">
      <c r="A52" s="1" t="s">
        <v>194</v>
      </c>
      <c r="B52" s="110" t="e">
        <f>#REF!</f>
        <v>#REF!</v>
      </c>
      <c r="C52" s="1093" t="e">
        <f>#REF!</f>
        <v>#REF!</v>
      </c>
      <c r="D52" s="1094"/>
      <c r="E52" s="1094"/>
      <c r="F52" s="1094"/>
      <c r="G52" s="1094"/>
      <c r="H52" s="1094"/>
      <c r="I52" s="1094"/>
      <c r="J52" s="1095"/>
      <c r="K52" s="104" t="e">
        <f>#REF!</f>
        <v>#REF!</v>
      </c>
      <c r="V52" s="112"/>
      <c r="W52" s="112"/>
      <c r="X52" s="13"/>
    </row>
    <row r="53" spans="1:24" x14ac:dyDescent="0.2">
      <c r="A53" s="16"/>
      <c r="B53" s="64" t="e">
        <f>#REF!</f>
        <v>#REF!</v>
      </c>
      <c r="C53" s="22"/>
      <c r="D53" s="1068" t="e">
        <f>#REF!</f>
        <v>#REF!</v>
      </c>
      <c r="E53" s="1068"/>
      <c r="F53" s="1068"/>
      <c r="G53" s="1068"/>
      <c r="H53" s="1068"/>
      <c r="I53" s="1068"/>
      <c r="J53" s="1069"/>
      <c r="V53" s="15"/>
      <c r="W53" s="15"/>
      <c r="X53" s="13"/>
    </row>
    <row r="54" spans="1:24" x14ac:dyDescent="0.2">
      <c r="A54" s="23"/>
      <c r="B54" s="1044" t="e">
        <f>#REF!</f>
        <v>#REF!</v>
      </c>
      <c r="C54" s="1045"/>
      <c r="D54" s="1045"/>
      <c r="E54" s="1045"/>
      <c r="F54" s="1045"/>
      <c r="G54" s="1045"/>
      <c r="H54" s="1045"/>
      <c r="I54" s="1045"/>
      <c r="J54" s="1046"/>
      <c r="V54" s="42"/>
      <c r="W54" s="42"/>
      <c r="X54" s="12"/>
    </row>
    <row r="55" spans="1:24" x14ac:dyDescent="0.2">
      <c r="A55" s="23"/>
      <c r="B55" s="1044"/>
      <c r="C55" s="1045"/>
      <c r="D55" s="1045"/>
      <c r="E55" s="1045"/>
      <c r="F55" s="1045"/>
      <c r="G55" s="1045"/>
      <c r="H55" s="1045"/>
      <c r="I55" s="1045"/>
      <c r="J55" s="1046"/>
      <c r="V55" s="114"/>
      <c r="W55" s="114"/>
      <c r="X55" s="17"/>
    </row>
    <row r="56" spans="1:24" ht="13.15" customHeight="1" x14ac:dyDescent="0.2">
      <c r="B56" s="1070" t="s">
        <v>87</v>
      </c>
      <c r="C56" s="1070"/>
      <c r="D56" s="1070"/>
      <c r="E56" s="1070"/>
      <c r="F56" s="1070"/>
      <c r="G56" s="1070"/>
      <c r="H56" s="1070"/>
      <c r="I56" s="1070"/>
      <c r="J56" s="1070"/>
      <c r="V56" s="114"/>
      <c r="W56" s="114"/>
      <c r="X56" s="17"/>
    </row>
    <row r="57" spans="1:24" ht="13.15" customHeight="1" x14ac:dyDescent="0.2">
      <c r="B57" s="1070"/>
      <c r="C57" s="1070"/>
      <c r="D57" s="1070"/>
      <c r="E57" s="1070"/>
      <c r="F57" s="1070"/>
      <c r="G57" s="1070"/>
      <c r="H57" s="1070"/>
      <c r="I57" s="1070"/>
      <c r="J57" s="1070"/>
      <c r="V57" s="114"/>
      <c r="W57" s="114"/>
      <c r="X57" s="17"/>
    </row>
    <row r="58" spans="1:24" ht="13.15" customHeight="1" x14ac:dyDescent="0.2">
      <c r="B58" s="1070"/>
      <c r="C58" s="1070"/>
      <c r="D58" s="1070"/>
      <c r="E58" s="1070"/>
      <c r="F58" s="1070"/>
      <c r="G58" s="1070"/>
      <c r="H58" s="1070"/>
      <c r="I58" s="1070"/>
      <c r="J58" s="1070"/>
    </row>
    <row r="59" spans="1:24" x14ac:dyDescent="0.2">
      <c r="B59" s="1070"/>
      <c r="C59" s="1070"/>
      <c r="D59" s="1070"/>
      <c r="E59" s="1070"/>
      <c r="F59" s="1070"/>
      <c r="G59" s="1070"/>
      <c r="H59" s="1070"/>
      <c r="I59" s="1070"/>
      <c r="J59" s="1070"/>
      <c r="K59" s="13"/>
    </row>
    <row r="60" spans="1:24" x14ac:dyDescent="0.2">
      <c r="B60" s="1070"/>
      <c r="C60" s="1070"/>
      <c r="D60" s="1070"/>
      <c r="E60" s="1070"/>
      <c r="F60" s="1070"/>
      <c r="G60" s="1070"/>
      <c r="H60" s="1070"/>
      <c r="I60" s="1070"/>
      <c r="J60" s="1070"/>
      <c r="K60" s="13"/>
    </row>
    <row r="61" spans="1:24" x14ac:dyDescent="0.2">
      <c r="F61" s="1071" t="s">
        <v>350</v>
      </c>
      <c r="G61" s="1071"/>
      <c r="H61" s="1072"/>
      <c r="I61" s="1073" t="e">
        <f>SUM(I45:J51)+I18+I20+I22+I24</f>
        <v>#REF!</v>
      </c>
      <c r="J61" s="1074"/>
    </row>
    <row r="63" spans="1:24" x14ac:dyDescent="0.2">
      <c r="A63" s="8"/>
    </row>
    <row r="64" spans="1:24" x14ac:dyDescent="0.2">
      <c r="A64" s="8"/>
    </row>
    <row r="65" spans="1:11" ht="14.45" customHeight="1" x14ac:dyDescent="0.2">
      <c r="A65" s="8" t="s">
        <v>137</v>
      </c>
      <c r="B65" s="8"/>
      <c r="C65" s="8"/>
      <c r="H65" s="1008">
        <f>Formalien!$F$5</f>
        <v>0</v>
      </c>
      <c r="I65" s="1008"/>
      <c r="J65" s="1008"/>
      <c r="K65" s="8"/>
    </row>
    <row r="66" spans="1:11" x14ac:dyDescent="0.2">
      <c r="B66" s="1008" t="s">
        <v>1</v>
      </c>
      <c r="C66" s="1008"/>
      <c r="D66" s="1065">
        <f>$E$1</f>
        <v>0</v>
      </c>
      <c r="E66" s="1066"/>
      <c r="F66" s="1066"/>
      <c r="G66" s="3" t="s">
        <v>3</v>
      </c>
      <c r="H66" s="24">
        <f>J2</f>
        <v>0</v>
      </c>
      <c r="I66" s="7"/>
    </row>
    <row r="67" spans="1:11" x14ac:dyDescent="0.2">
      <c r="G67" s="12"/>
      <c r="H67" s="1066"/>
      <c r="I67" s="1066"/>
      <c r="J67" s="1066"/>
    </row>
    <row r="68" spans="1:11" x14ac:dyDescent="0.2">
      <c r="E68" s="1014" t="s">
        <v>351</v>
      </c>
      <c r="F68" s="1014"/>
      <c r="G68" s="1014"/>
      <c r="H68" s="1014"/>
      <c r="I68" s="1060" t="e">
        <f>I61</f>
        <v>#REF!</v>
      </c>
      <c r="J68" s="1067"/>
      <c r="K68" s="13"/>
    </row>
    <row r="69" spans="1:11" x14ac:dyDescent="0.2">
      <c r="A69" s="8" t="s">
        <v>90</v>
      </c>
      <c r="B69" s="25" t="s">
        <v>196</v>
      </c>
      <c r="C69" s="25"/>
      <c r="D69" s="25"/>
      <c r="E69" s="25"/>
      <c r="F69" s="25"/>
      <c r="G69" s="25"/>
      <c r="H69" s="25"/>
      <c r="I69" s="25"/>
      <c r="J69" s="25"/>
    </row>
    <row r="70" spans="1:11" ht="13.5" thickBot="1" x14ac:dyDescent="0.25">
      <c r="A70" s="1" t="s">
        <v>20</v>
      </c>
      <c r="B70" s="102" t="e">
        <f>#REF!</f>
        <v>#REF!</v>
      </c>
      <c r="C70" s="12" t="e">
        <f>#REF!</f>
        <v>#REF!</v>
      </c>
      <c r="E70" s="12"/>
      <c r="F70" s="12"/>
      <c r="G70" s="12"/>
      <c r="H70" s="12"/>
      <c r="I70" s="12"/>
      <c r="J70" s="12"/>
    </row>
    <row r="71" spans="1:11" x14ac:dyDescent="0.2">
      <c r="C71" s="67"/>
      <c r="D71" s="3" t="e">
        <f>#REF!</f>
        <v>#REF!</v>
      </c>
      <c r="E71" s="66" t="e">
        <f>#REF!</f>
        <v>#REF!</v>
      </c>
      <c r="F71" s="1" t="e">
        <f>#REF!</f>
        <v>#REF!</v>
      </c>
      <c r="H71" s="3" t="e">
        <f>#REF!</f>
        <v>#REF!</v>
      </c>
      <c r="I71" s="1060" t="e">
        <f>#REF!</f>
        <v>#REF!</v>
      </c>
      <c r="J71" s="1060"/>
      <c r="K71" s="13"/>
    </row>
    <row r="72" spans="1:11" ht="13.5" thickBot="1" x14ac:dyDescent="0.25">
      <c r="A72" s="1" t="s">
        <v>29</v>
      </c>
      <c r="B72" s="102" t="e">
        <f>#REF!</f>
        <v>#REF!</v>
      </c>
      <c r="C72" s="12" t="e">
        <f>#REF!</f>
        <v>#REF!</v>
      </c>
      <c r="E72" s="66" t="e">
        <f>#REF!</f>
        <v>#REF!</v>
      </c>
      <c r="F72" s="12"/>
      <c r="G72" s="12"/>
      <c r="H72" s="3" t="e">
        <f>#REF!</f>
        <v>#REF!</v>
      </c>
      <c r="I72" s="1060" t="e">
        <f>#REF!</f>
        <v>#REF!</v>
      </c>
      <c r="J72" s="1060"/>
    </row>
    <row r="73" spans="1:11" ht="13.5" thickBot="1" x14ac:dyDescent="0.25">
      <c r="A73" s="1" t="s">
        <v>91</v>
      </c>
      <c r="B73" s="103" t="e">
        <f>#REF!</f>
        <v>#REF!</v>
      </c>
      <c r="C73" s="12" t="e">
        <f>#REF!</f>
        <v>#REF!</v>
      </c>
      <c r="E73" s="66" t="e">
        <f>#REF!</f>
        <v>#REF!</v>
      </c>
      <c r="F73" s="12" t="e">
        <f>#REF!</f>
        <v>#REF!</v>
      </c>
      <c r="G73" s="12"/>
      <c r="H73" s="3" t="e">
        <f>#REF!</f>
        <v>#REF!</v>
      </c>
      <c r="I73" s="1060" t="e">
        <f>#REF!</f>
        <v>#REF!</v>
      </c>
      <c r="J73" s="1060"/>
    </row>
    <row r="74" spans="1:11" ht="13.5" thickBot="1" x14ac:dyDescent="0.25">
      <c r="A74" s="26" t="s">
        <v>92</v>
      </c>
      <c r="B74" s="1052" t="e">
        <f>#REF!</f>
        <v>#REF!</v>
      </c>
      <c r="C74" s="1061"/>
      <c r="D74" s="1061"/>
      <c r="E74" s="1061"/>
      <c r="F74" s="1061"/>
      <c r="G74" s="1062"/>
      <c r="H74" s="3" t="e">
        <f>#REF!</f>
        <v>#REF!</v>
      </c>
      <c r="I74" s="1063" t="e">
        <f>#REF!</f>
        <v>#REF!</v>
      </c>
      <c r="J74" s="1064"/>
      <c r="K74" s="13"/>
    </row>
    <row r="75" spans="1:11" ht="13.5" thickBot="1" x14ac:dyDescent="0.25">
      <c r="A75" s="12" t="s">
        <v>189</v>
      </c>
      <c r="B75" s="1052" t="e">
        <f>#REF!</f>
        <v>#REF!</v>
      </c>
      <c r="C75" s="1053"/>
      <c r="D75" s="1053"/>
      <c r="E75" s="1053"/>
      <c r="F75" s="1053"/>
      <c r="G75" s="1054"/>
      <c r="H75" s="3" t="e">
        <f>#REF!</f>
        <v>#REF!</v>
      </c>
      <c r="I75" s="1055" t="e">
        <f>#REF!</f>
        <v>#REF!</v>
      </c>
      <c r="J75" s="1056"/>
      <c r="K75" s="13"/>
    </row>
    <row r="76" spans="1:11" ht="14.45" customHeight="1" thickBot="1" x14ac:dyDescent="0.25">
      <c r="A76" s="12" t="s">
        <v>190</v>
      </c>
      <c r="B76" s="1052" t="e">
        <f>#REF!</f>
        <v>#REF!</v>
      </c>
      <c r="C76" s="1053"/>
      <c r="D76" s="1053"/>
      <c r="E76" s="1053"/>
      <c r="F76" s="1053"/>
      <c r="G76" s="1054"/>
      <c r="H76" s="3" t="e">
        <f>#REF!</f>
        <v>#REF!</v>
      </c>
      <c r="I76" s="1055" t="e">
        <f>#REF!</f>
        <v>#REF!</v>
      </c>
      <c r="J76" s="1056"/>
      <c r="K76" s="13"/>
    </row>
    <row r="77" spans="1:11" ht="13.5" thickBot="1" x14ac:dyDescent="0.25">
      <c r="A77" s="26" t="s">
        <v>191</v>
      </c>
      <c r="B77" s="1052" t="e">
        <f>#REF!</f>
        <v>#REF!</v>
      </c>
      <c r="C77" s="1053"/>
      <c r="D77" s="1053"/>
      <c r="E77" s="1053"/>
      <c r="F77" s="1053"/>
      <c r="G77" s="1054"/>
      <c r="H77" s="3" t="e">
        <f>#REF!</f>
        <v>#REF!</v>
      </c>
      <c r="I77" s="1055" t="e">
        <f>#REF!</f>
        <v>#REF!</v>
      </c>
      <c r="J77" s="1056"/>
      <c r="K77" s="13"/>
    </row>
    <row r="78" spans="1:11" ht="13.15" customHeight="1" x14ac:dyDescent="0.2">
      <c r="A78" s="1" t="s">
        <v>192</v>
      </c>
      <c r="B78" s="1038" t="e">
        <f>#REF!</f>
        <v>#REF!</v>
      </c>
      <c r="C78" s="1038"/>
      <c r="D78" s="1038"/>
      <c r="E78" s="1038"/>
      <c r="F78" s="1038"/>
      <c r="G78" s="1038"/>
      <c r="H78" s="1038"/>
      <c r="I78" s="1058" t="e">
        <f>#REF!</f>
        <v>#REF!</v>
      </c>
      <c r="J78" s="1058"/>
    </row>
    <row r="79" spans="1:11" ht="14.45" customHeight="1" thickBot="1" x14ac:dyDescent="0.25">
      <c r="A79" s="19"/>
      <c r="B79" s="1057"/>
      <c r="C79" s="1057"/>
      <c r="D79" s="1057"/>
      <c r="E79" s="1057"/>
      <c r="F79" s="1057"/>
      <c r="G79" s="1057"/>
      <c r="H79" s="1057"/>
      <c r="I79" s="1059"/>
      <c r="J79" s="1059"/>
    </row>
    <row r="80" spans="1:11" x14ac:dyDescent="0.2">
      <c r="A80" s="74" t="s">
        <v>203</v>
      </c>
      <c r="B80" s="1050" t="e">
        <f>#REF!</f>
        <v>#REF!</v>
      </c>
      <c r="C80" s="1051"/>
      <c r="D80" s="1041" t="e">
        <f>#REF!</f>
        <v>#REF!</v>
      </c>
      <c r="E80" s="1041"/>
      <c r="F80" s="1041"/>
      <c r="G80" s="1041"/>
      <c r="H80" s="1041"/>
      <c r="I80" s="1042"/>
      <c r="J80" s="1043"/>
    </row>
    <row r="81" spans="1:11" x14ac:dyDescent="0.2">
      <c r="A81" s="74" t="s">
        <v>204</v>
      </c>
      <c r="B81" s="1044" t="e">
        <f>#REF!</f>
        <v>#REF!</v>
      </c>
      <c r="C81" s="1045"/>
      <c r="D81" s="1045"/>
      <c r="E81" s="1045"/>
      <c r="F81" s="1045"/>
      <c r="G81" s="1045"/>
      <c r="H81" s="1045"/>
      <c r="I81" s="1045"/>
      <c r="J81" s="1046"/>
    </row>
    <row r="82" spans="1:11" x14ac:dyDescent="0.2">
      <c r="A82" s="23"/>
      <c r="B82" s="1044"/>
      <c r="C82" s="1045"/>
      <c r="D82" s="1045"/>
      <c r="E82" s="1045"/>
      <c r="F82" s="1045"/>
      <c r="G82" s="1045"/>
      <c r="H82" s="1045"/>
      <c r="I82" s="1045"/>
      <c r="J82" s="1046"/>
    </row>
    <row r="83" spans="1:11" x14ac:dyDescent="0.2">
      <c r="A83" s="19"/>
      <c r="B83" s="1047"/>
      <c r="C83" s="1048"/>
      <c r="D83" s="1048"/>
      <c r="E83" s="1048"/>
      <c r="F83" s="1048"/>
      <c r="G83" s="1048"/>
      <c r="H83" s="1048"/>
      <c r="I83" s="1048"/>
      <c r="J83" s="1049"/>
    </row>
    <row r="84" spans="1:11" x14ac:dyDescent="0.2">
      <c r="A84" s="8" t="s">
        <v>93</v>
      </c>
      <c r="B84" s="1008" t="s">
        <v>94</v>
      </c>
      <c r="C84" s="1008"/>
      <c r="D84" s="1008"/>
      <c r="E84" s="1008"/>
      <c r="F84" s="1008"/>
      <c r="G84" s="1008"/>
      <c r="H84" s="1008"/>
      <c r="I84" s="1008"/>
      <c r="J84" s="1008"/>
    </row>
    <row r="85" spans="1:11" x14ac:dyDescent="0.2">
      <c r="B85" s="1008" t="s">
        <v>95</v>
      </c>
      <c r="C85" s="1008"/>
      <c r="D85" s="1008"/>
      <c r="E85" s="1008"/>
      <c r="F85" s="1008"/>
      <c r="G85" s="1008"/>
      <c r="H85" s="1008"/>
      <c r="I85" s="1008"/>
      <c r="J85" s="12"/>
    </row>
    <row r="86" spans="1:11" ht="13.5" thickBot="1" x14ac:dyDescent="0.25">
      <c r="B86" s="1008" t="s">
        <v>96</v>
      </c>
      <c r="C86" s="1008"/>
      <c r="D86" s="1008"/>
      <c r="E86" s="1008"/>
      <c r="F86" s="1008"/>
      <c r="G86" s="1008"/>
      <c r="H86" s="1008"/>
      <c r="I86" s="1008"/>
      <c r="J86" s="1008"/>
    </row>
    <row r="87" spans="1:11" ht="13.5" thickBot="1" x14ac:dyDescent="0.25">
      <c r="B87" s="1008" t="s">
        <v>97</v>
      </c>
      <c r="C87" s="1008"/>
      <c r="D87" s="1008"/>
      <c r="E87" s="1008"/>
      <c r="F87" s="1008"/>
      <c r="G87" s="1008"/>
      <c r="H87" s="1008"/>
      <c r="I87" s="1008"/>
      <c r="J87" s="1039"/>
      <c r="K87" s="27" t="e">
        <f>#REF!</f>
        <v>#REF!</v>
      </c>
    </row>
    <row r="88" spans="1:11" ht="13.5" thickBot="1" x14ac:dyDescent="0.25">
      <c r="A88" s="8" t="s">
        <v>98</v>
      </c>
      <c r="B88" s="1031" t="s">
        <v>99</v>
      </c>
      <c r="C88" s="1031"/>
      <c r="D88" s="1031"/>
      <c r="E88" s="1031"/>
      <c r="F88" s="1031"/>
      <c r="G88" s="1031"/>
      <c r="H88" s="1031"/>
      <c r="I88" s="1031"/>
      <c r="J88" s="1031"/>
    </row>
    <row r="89" spans="1:11" ht="13.5" thickBot="1" x14ac:dyDescent="0.25">
      <c r="B89" s="1008" t="s">
        <v>100</v>
      </c>
      <c r="C89" s="1008"/>
      <c r="D89" s="1008"/>
      <c r="E89" s="1008"/>
      <c r="F89" s="1008"/>
      <c r="G89" s="1008"/>
      <c r="H89" s="1008"/>
      <c r="I89" s="1008"/>
      <c r="J89" s="1039"/>
      <c r="K89" s="28" t="e">
        <f>#REF!</f>
        <v>#REF!</v>
      </c>
    </row>
    <row r="90" spans="1:11" x14ac:dyDescent="0.2">
      <c r="A90" s="25" t="s">
        <v>101</v>
      </c>
      <c r="B90" s="789" t="s">
        <v>413</v>
      </c>
      <c r="C90" s="1031"/>
      <c r="D90" s="1031"/>
      <c r="E90" s="1031"/>
      <c r="F90" s="1031"/>
      <c r="G90" s="1031"/>
      <c r="H90" s="1031"/>
      <c r="I90" s="1031"/>
      <c r="J90" s="1031"/>
    </row>
    <row r="91" spans="1:11" x14ac:dyDescent="0.2">
      <c r="A91" s="8" t="e">
        <f>#REF!</f>
        <v>#REF!</v>
      </c>
      <c r="B91" s="1040" t="e">
        <f>#REF!</f>
        <v>#REF!</v>
      </c>
      <c r="C91" s="1040"/>
      <c r="D91" s="1040"/>
      <c r="E91" s="1040"/>
      <c r="F91" s="1040"/>
      <c r="G91" s="1040"/>
      <c r="H91" s="1040"/>
      <c r="I91" s="1040"/>
      <c r="J91" s="96" t="e">
        <f>#REF!</f>
        <v>#REF!</v>
      </c>
      <c r="K91" s="13"/>
    </row>
    <row r="92" spans="1:11" ht="13.5" thickBot="1" x14ac:dyDescent="0.25">
      <c r="A92" s="1014" t="s">
        <v>338</v>
      </c>
      <c r="B92" s="1014"/>
      <c r="C92" s="1014"/>
      <c r="D92" s="1014"/>
      <c r="E92" s="1014"/>
      <c r="G92" s="98" t="e">
        <f>#REF!</f>
        <v>#REF!</v>
      </c>
      <c r="H92" s="1013" t="s">
        <v>102</v>
      </c>
      <c r="I92" s="1013"/>
      <c r="J92" s="1013"/>
      <c r="K92" s="1" t="e">
        <f>#REF!</f>
        <v>#REF!</v>
      </c>
    </row>
    <row r="93" spans="1:11" x14ac:dyDescent="0.2">
      <c r="B93" s="1" t="e">
        <f>#REF!</f>
        <v>#REF!</v>
      </c>
      <c r="E93" s="151" t="e">
        <f>#REF!</f>
        <v>#REF!</v>
      </c>
      <c r="F93" s="1" t="e">
        <f>#REF!</f>
        <v>#REF!</v>
      </c>
      <c r="G93" s="152" t="e">
        <f>#REF!</f>
        <v>#REF!</v>
      </c>
      <c r="H93" s="1" t="e">
        <f>#REF!</f>
        <v>#REF!</v>
      </c>
      <c r="J93" s="153" t="e">
        <f>#REF!</f>
        <v>#REF!</v>
      </c>
      <c r="K93" s="8" t="e">
        <f>#REF!</f>
        <v>#REF!</v>
      </c>
    </row>
    <row r="94" spans="1:11" x14ac:dyDescent="0.2">
      <c r="A94" s="60" t="s">
        <v>177</v>
      </c>
      <c r="B94" s="1008" t="e">
        <f>#REF!</f>
        <v>#REF!</v>
      </c>
      <c r="C94" s="1008"/>
      <c r="D94" s="1008"/>
      <c r="E94" s="1008"/>
      <c r="F94" s="1008"/>
      <c r="G94" s="1008"/>
      <c r="H94" s="1008"/>
      <c r="I94" s="1008"/>
      <c r="J94" s="1008"/>
      <c r="K94" s="1008"/>
    </row>
    <row r="95" spans="1:11" x14ac:dyDescent="0.2">
      <c r="B95" s="1008" t="e">
        <f>#REF!</f>
        <v>#REF!</v>
      </c>
      <c r="C95" s="1008"/>
      <c r="D95" s="1008"/>
      <c r="E95" s="1008"/>
      <c r="F95" s="1008"/>
      <c r="G95" s="1008"/>
      <c r="H95" s="1008"/>
      <c r="I95" s="1008"/>
      <c r="J95" s="1008"/>
      <c r="K95" s="1008"/>
    </row>
    <row r="96" spans="1:11" ht="14.45" customHeight="1" thickBot="1" x14ac:dyDescent="0.25">
      <c r="B96" s="1008" t="e">
        <f>#REF!</f>
        <v>#REF!</v>
      </c>
      <c r="C96" s="1008"/>
      <c r="D96" s="1008"/>
      <c r="E96" s="97" t="e">
        <f>#REF!</f>
        <v>#REF!</v>
      </c>
      <c r="F96" s="1" t="e">
        <f>#REF!</f>
        <v>#REF!</v>
      </c>
      <c r="G96" s="100" t="e">
        <f>#REF!</f>
        <v>#REF!</v>
      </c>
      <c r="H96" s="3" t="e">
        <f>#REF!</f>
        <v>#REF!</v>
      </c>
      <c r="I96" s="1030" t="e">
        <f>#REF!</f>
        <v>#REF!</v>
      </c>
      <c r="J96" s="1030"/>
      <c r="K96" s="8" t="e">
        <f>#REF!</f>
        <v>#REF!</v>
      </c>
    </row>
    <row r="97" spans="1:11" x14ac:dyDescent="0.2">
      <c r="A97" s="8" t="s">
        <v>178</v>
      </c>
      <c r="B97" s="1008" t="e">
        <f>#REF!</f>
        <v>#REF!</v>
      </c>
      <c r="C97" s="1008"/>
      <c r="D97" s="1008"/>
      <c r="E97" s="1008"/>
      <c r="F97" s="1008"/>
      <c r="G97" s="1008"/>
      <c r="H97" s="1008"/>
      <c r="I97" s="1008"/>
      <c r="J97" s="1008"/>
      <c r="K97" s="8" t="e">
        <f>#REF!</f>
        <v>#REF!</v>
      </c>
    </row>
    <row r="98" spans="1:11" x14ac:dyDescent="0.2">
      <c r="B98" s="1008" t="e">
        <f>#REF!</f>
        <v>#REF!</v>
      </c>
      <c r="C98" s="1008"/>
      <c r="D98" s="1008"/>
      <c r="E98" s="1008"/>
      <c r="F98" s="1008"/>
      <c r="G98" s="1008"/>
      <c r="H98" s="1008"/>
      <c r="I98" s="1008"/>
      <c r="J98" s="29"/>
      <c r="K98" s="8"/>
    </row>
    <row r="99" spans="1:11" ht="13.5" thickBot="1" x14ac:dyDescent="0.25">
      <c r="B99" s="1008" t="e">
        <f>#REF!</f>
        <v>#REF!</v>
      </c>
      <c r="C99" s="1008"/>
      <c r="D99" s="1008"/>
      <c r="E99" s="1008"/>
      <c r="G99" s="4"/>
      <c r="H99" s="3" t="e">
        <f>#REF!</f>
        <v>#REF!</v>
      </c>
      <c r="I99" s="29"/>
      <c r="J99" s="154" t="e">
        <f>#REF!</f>
        <v>#REF!</v>
      </c>
      <c r="K99" s="8"/>
    </row>
    <row r="100" spans="1:11" ht="13.5" thickBot="1" x14ac:dyDescent="0.25">
      <c r="A100" s="8" t="s">
        <v>199</v>
      </c>
      <c r="B100" s="12" t="e">
        <f>#REF!</f>
        <v>#REF!</v>
      </c>
      <c r="C100" s="12"/>
      <c r="D100" s="12"/>
      <c r="E100" s="12"/>
      <c r="G100" s="4"/>
      <c r="H100" s="3" t="e">
        <f>#REF!</f>
        <v>#REF!</v>
      </c>
      <c r="I100" s="30"/>
      <c r="J100" s="155" t="e">
        <f>#REF!</f>
        <v>#REF!</v>
      </c>
      <c r="K100" s="8"/>
    </row>
    <row r="101" spans="1:11" ht="14.25" thickTop="1" thickBot="1" x14ac:dyDescent="0.25">
      <c r="B101" s="1031" t="e">
        <f>#REF!</f>
        <v>#REF!</v>
      </c>
      <c r="C101" s="1031"/>
      <c r="D101" s="1031"/>
      <c r="E101" s="1031"/>
      <c r="F101" s="1031"/>
      <c r="G101" s="1031"/>
      <c r="H101" s="3" t="e">
        <f>#REF!</f>
        <v>#REF!</v>
      </c>
      <c r="I101" s="1036" t="e">
        <f>#REF!</f>
        <v>#REF!</v>
      </c>
      <c r="J101" s="1037"/>
      <c r="K101" s="13" t="e">
        <f>#REF!</f>
        <v>#REF!</v>
      </c>
    </row>
    <row r="102" spans="1:11" ht="13.5" customHeight="1" thickTop="1" x14ac:dyDescent="0.2">
      <c r="A102" s="8" t="s">
        <v>103</v>
      </c>
      <c r="B102" s="1038" t="s">
        <v>364</v>
      </c>
      <c r="C102" s="1038"/>
      <c r="D102" s="1038"/>
      <c r="E102" s="1038"/>
      <c r="F102" s="1038"/>
      <c r="G102" s="1038"/>
      <c r="H102" s="1038"/>
      <c r="I102" s="1038"/>
      <c r="J102" s="1038"/>
      <c r="K102" s="17"/>
    </row>
    <row r="103" spans="1:11" x14ac:dyDescent="0.2">
      <c r="B103" s="1038"/>
      <c r="C103" s="1038"/>
      <c r="D103" s="1038"/>
      <c r="E103" s="1038"/>
      <c r="F103" s="1038"/>
      <c r="G103" s="1038"/>
      <c r="H103" s="1038"/>
      <c r="I103" s="1038"/>
      <c r="J103" s="1038"/>
      <c r="K103" s="17"/>
    </row>
    <row r="104" spans="1:11" x14ac:dyDescent="0.2">
      <c r="B104" s="1038"/>
      <c r="C104" s="1038"/>
      <c r="D104" s="1038"/>
      <c r="E104" s="1038"/>
      <c r="F104" s="1038"/>
      <c r="G104" s="1038"/>
      <c r="H104" s="1038"/>
      <c r="I104" s="1038"/>
      <c r="J104" s="1038"/>
      <c r="K104" s="17"/>
    </row>
    <row r="105" spans="1:11" ht="13.5" thickBot="1" x14ac:dyDescent="0.25">
      <c r="B105" s="1038"/>
      <c r="C105" s="1038"/>
      <c r="D105" s="1038"/>
      <c r="E105" s="1038"/>
      <c r="F105" s="1038"/>
      <c r="G105" s="1038"/>
      <c r="H105" s="1038"/>
      <c r="I105" s="1038"/>
      <c r="J105" s="1038"/>
      <c r="K105" s="17"/>
    </row>
    <row r="106" spans="1:11" ht="13.5" thickBot="1" x14ac:dyDescent="0.25">
      <c r="B106" s="1038"/>
      <c r="C106" s="1038"/>
      <c r="D106" s="1038"/>
      <c r="E106" s="1038"/>
      <c r="F106" s="1038"/>
      <c r="G106" s="1038"/>
      <c r="H106" s="1038"/>
      <c r="I106" s="1038"/>
      <c r="J106" s="1038"/>
      <c r="K106" s="73" t="e">
        <f>#REF!</f>
        <v>#REF!</v>
      </c>
    </row>
    <row r="107" spans="1:11" x14ac:dyDescent="0.2">
      <c r="B107" s="1038"/>
      <c r="C107" s="1038"/>
      <c r="D107" s="1038"/>
      <c r="E107" s="1038"/>
      <c r="F107" s="1038"/>
      <c r="G107" s="1038"/>
      <c r="H107" s="1038"/>
      <c r="I107" s="1038"/>
      <c r="J107" s="1038"/>
      <c r="K107" s="75"/>
    </row>
    <row r="108" spans="1:11" ht="13.5" thickBot="1" x14ac:dyDescent="0.25">
      <c r="A108" s="8" t="s">
        <v>104</v>
      </c>
      <c r="B108" s="1008" t="s">
        <v>364</v>
      </c>
      <c r="C108" s="1008"/>
      <c r="D108" s="1008"/>
      <c r="E108" s="1026" t="e">
        <f>#REF!</f>
        <v>#REF!</v>
      </c>
      <c r="F108" s="1027"/>
      <c r="G108" s="1027"/>
      <c r="H108" s="1008"/>
      <c r="I108" s="1008"/>
      <c r="J108" s="1008"/>
    </row>
    <row r="109" spans="1:11" ht="13.5" thickBot="1" x14ac:dyDescent="0.25">
      <c r="A109" s="8"/>
      <c r="B109" s="1013"/>
      <c r="C109" s="1013"/>
      <c r="D109" s="1013"/>
      <c r="E109" s="1013"/>
      <c r="F109" s="1013"/>
      <c r="G109" s="1013"/>
      <c r="H109" s="1013"/>
      <c r="I109" s="1013"/>
      <c r="J109" s="1013"/>
      <c r="K109" s="8"/>
    </row>
    <row r="110" spans="1:11" ht="16.5" thickBot="1" x14ac:dyDescent="0.3">
      <c r="A110" s="8"/>
      <c r="B110" s="1008"/>
      <c r="C110" s="1008"/>
      <c r="D110" s="1008"/>
      <c r="E110" s="1008"/>
      <c r="F110" s="1008"/>
      <c r="G110" s="1008"/>
      <c r="H110" s="32" t="e">
        <f>#REF!</f>
        <v>#REF!</v>
      </c>
      <c r="I110" s="31"/>
      <c r="J110" s="31"/>
      <c r="K110" s="33" t="e">
        <f>#REF!</f>
        <v>#REF!</v>
      </c>
    </row>
    <row r="111" spans="1:11" ht="13.5" thickBot="1" x14ac:dyDescent="0.25">
      <c r="A111" s="8" t="s">
        <v>105</v>
      </c>
      <c r="B111" s="1031" t="s">
        <v>106</v>
      </c>
      <c r="C111" s="1031"/>
      <c r="D111" s="1031"/>
      <c r="E111" s="1031"/>
      <c r="F111" s="1031"/>
      <c r="G111" s="1031"/>
      <c r="H111" s="1031"/>
      <c r="I111" s="1031"/>
      <c r="J111" s="1031"/>
    </row>
    <row r="112" spans="1:11" ht="13.5" thickBot="1" x14ac:dyDescent="0.25">
      <c r="B112" s="1031" t="s">
        <v>107</v>
      </c>
      <c r="C112" s="1031"/>
      <c r="D112" s="1031"/>
      <c r="E112" s="1031"/>
      <c r="F112" s="1031"/>
      <c r="G112" s="1031"/>
      <c r="H112" s="1031"/>
      <c r="I112" s="1031"/>
      <c r="J112" s="1032"/>
      <c r="K112" s="28" t="e">
        <f>#REF!</f>
        <v>#REF!</v>
      </c>
    </row>
    <row r="113" spans="1:22" x14ac:dyDescent="0.2">
      <c r="B113" s="1033" t="s">
        <v>108</v>
      </c>
      <c r="C113" s="1033"/>
      <c r="D113" s="1033"/>
      <c r="E113" s="1033"/>
      <c r="F113" s="1033"/>
      <c r="G113" s="1033"/>
      <c r="H113" s="1033"/>
      <c r="I113" s="1033"/>
      <c r="J113" s="1033"/>
      <c r="K113" s="8"/>
    </row>
    <row r="114" spans="1:22" x14ac:dyDescent="0.2">
      <c r="A114" s="34" t="s">
        <v>109</v>
      </c>
      <c r="B114" s="1028" t="e">
        <f>#REF!</f>
        <v>#REF!</v>
      </c>
      <c r="C114" s="1029"/>
      <c r="D114" s="1034" t="e">
        <f>#REF!</f>
        <v>#REF!</v>
      </c>
      <c r="E114" s="1034"/>
      <c r="F114" s="1034"/>
      <c r="G114" s="1034"/>
      <c r="H114" s="1034"/>
      <c r="I114" s="1034"/>
      <c r="J114" s="1035"/>
    </row>
    <row r="115" spans="1:22" x14ac:dyDescent="0.2">
      <c r="A115" s="34"/>
      <c r="B115" s="1096" t="e">
        <f>#REF!</f>
        <v>#REF!</v>
      </c>
      <c r="C115" s="1013"/>
      <c r="D115" s="1013"/>
      <c r="E115" s="1013"/>
      <c r="F115" s="1013"/>
      <c r="G115" s="1013"/>
      <c r="H115" s="1013"/>
      <c r="I115" s="1013"/>
      <c r="J115" s="1097"/>
    </row>
    <row r="116" spans="1:22" ht="12.75" customHeight="1" x14ac:dyDescent="0.2">
      <c r="A116" s="23"/>
      <c r="B116" s="1017" t="e">
        <f>#REF!</f>
        <v>#REF!</v>
      </c>
      <c r="C116" s="1018"/>
      <c r="D116" s="1018"/>
      <c r="E116" s="1018"/>
      <c r="F116" s="1018"/>
      <c r="G116" s="1018"/>
      <c r="H116" s="1018"/>
      <c r="I116" s="1018"/>
      <c r="J116" s="1019"/>
    </row>
    <row r="117" spans="1:22" x14ac:dyDescent="0.2">
      <c r="A117" s="23"/>
      <c r="B117" s="1020"/>
      <c r="C117" s="1018"/>
      <c r="D117" s="1018"/>
      <c r="E117" s="1018"/>
      <c r="F117" s="1018"/>
      <c r="G117" s="1018"/>
      <c r="H117" s="1018"/>
      <c r="I117" s="1018"/>
      <c r="J117" s="1019"/>
      <c r="M117" s="1013"/>
      <c r="N117" s="1013"/>
      <c r="O117" s="1013"/>
      <c r="P117" s="1013"/>
      <c r="Q117" s="1013"/>
      <c r="R117" s="1013"/>
      <c r="S117" s="1013"/>
      <c r="T117" s="1013"/>
      <c r="U117" s="1013"/>
      <c r="V117" s="1013"/>
    </row>
    <row r="118" spans="1:22" x14ac:dyDescent="0.2">
      <c r="A118" s="23"/>
      <c r="B118" s="1020"/>
      <c r="C118" s="1018"/>
      <c r="D118" s="1018"/>
      <c r="E118" s="1018"/>
      <c r="F118" s="1018"/>
      <c r="G118" s="1018"/>
      <c r="H118" s="1018"/>
      <c r="I118" s="1018"/>
      <c r="J118" s="1019"/>
      <c r="M118" s="1013"/>
      <c r="N118" s="1013"/>
      <c r="O118" s="1013"/>
      <c r="P118" s="1013"/>
      <c r="Q118" s="1013"/>
      <c r="R118" s="1013"/>
      <c r="S118" s="1013"/>
      <c r="T118" s="1013"/>
      <c r="U118" s="1013"/>
      <c r="V118" s="1013"/>
    </row>
    <row r="119" spans="1:22" x14ac:dyDescent="0.2">
      <c r="A119" s="23"/>
      <c r="B119" s="1020"/>
      <c r="C119" s="1018"/>
      <c r="D119" s="1018"/>
      <c r="E119" s="1018"/>
      <c r="F119" s="1018"/>
      <c r="G119" s="1018"/>
      <c r="H119" s="1018"/>
      <c r="I119" s="1018"/>
      <c r="J119" s="1019"/>
    </row>
    <row r="120" spans="1:22" x14ac:dyDescent="0.2">
      <c r="A120" s="23"/>
      <c r="B120" s="1021"/>
      <c r="C120" s="1022"/>
      <c r="D120" s="1022"/>
      <c r="E120" s="1022"/>
      <c r="F120" s="1022"/>
      <c r="G120" s="1022"/>
      <c r="H120" s="1022"/>
      <c r="I120" s="1022"/>
      <c r="J120" s="1023"/>
    </row>
    <row r="121" spans="1:22" ht="13.5" thickBot="1" x14ac:dyDescent="0.25">
      <c r="A121" s="1014" t="s">
        <v>58</v>
      </c>
      <c r="B121" s="1014"/>
      <c r="C121" s="1024">
        <f>Formalien!$E$14</f>
        <v>0</v>
      </c>
      <c r="D121" s="1024"/>
      <c r="E121" s="3" t="s">
        <v>120</v>
      </c>
      <c r="F121" s="1025">
        <f>Formalien!$E$12</f>
        <v>0</v>
      </c>
      <c r="G121" s="1025"/>
      <c r="H121" s="35" t="s">
        <v>110</v>
      </c>
      <c r="I121" s="1025">
        <f>Formalien!$E$13</f>
        <v>0</v>
      </c>
      <c r="J121" s="1025"/>
    </row>
    <row r="122" spans="1:22" x14ac:dyDescent="0.2">
      <c r="A122" s="1013"/>
      <c r="B122" s="1013"/>
      <c r="C122" s="1013"/>
      <c r="D122" s="1013"/>
      <c r="E122" s="1013"/>
      <c r="F122" s="1013"/>
      <c r="G122" s="1013"/>
      <c r="H122" s="1013"/>
      <c r="I122" s="1013"/>
      <c r="J122" s="1013"/>
    </row>
    <row r="123" spans="1:22" ht="13.5" thickBot="1" x14ac:dyDescent="0.25">
      <c r="A123" s="1014" t="s">
        <v>58</v>
      </c>
      <c r="B123" s="1014"/>
      <c r="C123" s="1015"/>
      <c r="D123" s="1015"/>
      <c r="G123" s="3" t="s">
        <v>414</v>
      </c>
      <c r="H123" s="1016"/>
      <c r="I123" s="1016"/>
      <c r="J123" s="1016"/>
    </row>
    <row r="124" spans="1:22" ht="15" customHeight="1" x14ac:dyDescent="0.2">
      <c r="A124" s="1013"/>
      <c r="B124" s="1013"/>
      <c r="C124" s="1013"/>
      <c r="D124" s="1013"/>
      <c r="E124" s="1013"/>
      <c r="F124" s="1013"/>
      <c r="G124" s="1013"/>
      <c r="H124" s="1013"/>
      <c r="I124" s="1013"/>
      <c r="J124" s="1013"/>
    </row>
    <row r="125" spans="1:22" x14ac:dyDescent="0.2">
      <c r="A125" s="8"/>
      <c r="I125" s="14"/>
      <c r="J125" s="14"/>
    </row>
    <row r="126" spans="1:22" x14ac:dyDescent="0.2">
      <c r="A126" s="8"/>
      <c r="I126" s="14"/>
      <c r="J126" s="14"/>
    </row>
    <row r="127" spans="1:22" x14ac:dyDescent="0.2">
      <c r="A127" s="36"/>
      <c r="B127" s="36"/>
      <c r="C127" s="36"/>
      <c r="D127" s="36"/>
      <c r="E127" s="36"/>
      <c r="F127" s="36"/>
      <c r="G127" s="36"/>
      <c r="H127" s="36"/>
      <c r="I127" s="36"/>
      <c r="J127" s="36"/>
      <c r="K127" s="17"/>
    </row>
    <row r="128" spans="1:22" x14ac:dyDescent="0.2">
      <c r="A128" s="36"/>
      <c r="B128" s="36"/>
      <c r="C128" s="36"/>
      <c r="D128" s="36"/>
      <c r="E128" s="36"/>
      <c r="F128" s="36"/>
      <c r="G128" s="36"/>
      <c r="H128" s="36"/>
      <c r="I128" s="36"/>
      <c r="J128" s="36"/>
      <c r="K128" s="17"/>
    </row>
    <row r="129" spans="1:21" x14ac:dyDescent="0.2">
      <c r="A129" s="36"/>
      <c r="B129" s="36"/>
      <c r="C129" s="36"/>
      <c r="D129" s="36"/>
      <c r="E129" s="36"/>
      <c r="F129" s="36"/>
      <c r="G129" s="36"/>
      <c r="H129" s="36"/>
      <c r="I129" s="36"/>
      <c r="J129" s="36"/>
      <c r="K129" s="17"/>
    </row>
    <row r="130" spans="1:21" x14ac:dyDescent="0.2">
      <c r="A130" s="36"/>
      <c r="B130" s="56"/>
      <c r="C130" s="36"/>
      <c r="D130" s="36"/>
      <c r="E130" s="36"/>
      <c r="F130" s="36"/>
      <c r="G130" s="36"/>
      <c r="H130" s="36"/>
      <c r="I130" s="36"/>
      <c r="J130" s="36"/>
      <c r="K130" s="17"/>
    </row>
    <row r="132" spans="1:21" x14ac:dyDescent="0.2">
      <c r="B132" s="8"/>
      <c r="J132" s="14"/>
      <c r="K132" s="14"/>
    </row>
    <row r="133" spans="1:21" x14ac:dyDescent="0.2">
      <c r="B133" s="56"/>
      <c r="K133" s="36"/>
      <c r="L133" s="36"/>
      <c r="M133" s="36"/>
      <c r="N133" s="36"/>
      <c r="O133" s="36"/>
      <c r="P133" s="36"/>
      <c r="Q133" s="36"/>
      <c r="R133" s="36"/>
      <c r="S133" s="36"/>
      <c r="T133" s="36"/>
      <c r="U133" s="17"/>
    </row>
    <row r="134" spans="1:21" x14ac:dyDescent="0.2">
      <c r="B134" s="56"/>
    </row>
    <row r="136" spans="1:21" x14ac:dyDescent="0.2">
      <c r="B136" s="56"/>
    </row>
    <row r="138" spans="1:21" x14ac:dyDescent="0.2">
      <c r="B138" s="56"/>
    </row>
    <row r="139" spans="1:21" x14ac:dyDescent="0.2">
      <c r="B139" s="56"/>
    </row>
    <row r="141" spans="1:21" x14ac:dyDescent="0.2">
      <c r="B141" s="56"/>
    </row>
  </sheetData>
  <sheetProtection selectLockedCells="1" selectUnlockedCells="1"/>
  <mergeCells count="108">
    <mergeCell ref="C52:J52"/>
    <mergeCell ref="B115:J115"/>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6:E46"/>
    <mergeCell ref="I46:J46"/>
    <mergeCell ref="C47:E47"/>
    <mergeCell ref="E49:F49"/>
    <mergeCell ref="G49:I49"/>
    <mergeCell ref="C50:G50"/>
    <mergeCell ref="I50:J50"/>
    <mergeCell ref="C51:G51"/>
    <mergeCell ref="I51:J51"/>
    <mergeCell ref="C48:E48"/>
    <mergeCell ref="I48:J48"/>
    <mergeCell ref="F24:G24"/>
    <mergeCell ref="I24:J24"/>
    <mergeCell ref="D26:J26"/>
    <mergeCell ref="B27:J29"/>
    <mergeCell ref="C45:E45"/>
    <mergeCell ref="I45:J45"/>
    <mergeCell ref="I47:J47"/>
    <mergeCell ref="H65:J65"/>
    <mergeCell ref="B66:C66"/>
    <mergeCell ref="D66:F66"/>
    <mergeCell ref="H67:J67"/>
    <mergeCell ref="E68:H68"/>
    <mergeCell ref="I68:J68"/>
    <mergeCell ref="D53:J53"/>
    <mergeCell ref="B54:J55"/>
    <mergeCell ref="B56:J60"/>
    <mergeCell ref="F61:H61"/>
    <mergeCell ref="I61:J61"/>
    <mergeCell ref="B76:G76"/>
    <mergeCell ref="I76:J76"/>
    <mergeCell ref="B77:G77"/>
    <mergeCell ref="I77:J77"/>
    <mergeCell ref="B78:H79"/>
    <mergeCell ref="I78:J79"/>
    <mergeCell ref="I71:J71"/>
    <mergeCell ref="I72:J72"/>
    <mergeCell ref="I73:J73"/>
    <mergeCell ref="B74:G74"/>
    <mergeCell ref="I74:J74"/>
    <mergeCell ref="B75:G75"/>
    <mergeCell ref="I75:J75"/>
    <mergeCell ref="B88:J88"/>
    <mergeCell ref="B89:J89"/>
    <mergeCell ref="B90:J90"/>
    <mergeCell ref="B91:I91"/>
    <mergeCell ref="A92:E92"/>
    <mergeCell ref="D80:J80"/>
    <mergeCell ref="B81:J83"/>
    <mergeCell ref="B84:J84"/>
    <mergeCell ref="B85:I85"/>
    <mergeCell ref="B86:J86"/>
    <mergeCell ref="B87:J87"/>
    <mergeCell ref="B80:C80"/>
    <mergeCell ref="H92:J92"/>
    <mergeCell ref="A124:J124"/>
    <mergeCell ref="B108:D108"/>
    <mergeCell ref="E108:G108"/>
    <mergeCell ref="H108:J108"/>
    <mergeCell ref="B114:C114"/>
    <mergeCell ref="B94:K94"/>
    <mergeCell ref="B95:K95"/>
    <mergeCell ref="B96:D96"/>
    <mergeCell ref="I96:J96"/>
    <mergeCell ref="B97:J97"/>
    <mergeCell ref="B109:J109"/>
    <mergeCell ref="B110:G110"/>
    <mergeCell ref="B111:J111"/>
    <mergeCell ref="B112:J112"/>
    <mergeCell ref="B113:J113"/>
    <mergeCell ref="D114:J114"/>
    <mergeCell ref="B98:I98"/>
    <mergeCell ref="B99:E99"/>
    <mergeCell ref="B101:G101"/>
    <mergeCell ref="I101:J101"/>
    <mergeCell ref="B102:J107"/>
    <mergeCell ref="M117:V117"/>
    <mergeCell ref="M118:V118"/>
    <mergeCell ref="A123:B123"/>
    <mergeCell ref="C123:D123"/>
    <mergeCell ref="H123:J123"/>
    <mergeCell ref="A122:J122"/>
    <mergeCell ref="B116:J120"/>
    <mergeCell ref="A121:B121"/>
    <mergeCell ref="C121:D121"/>
    <mergeCell ref="F121:G121"/>
    <mergeCell ref="I121:J121"/>
  </mergeCells>
  <dataValidations disablePrompts="1" count="3">
    <dataValidation type="list" allowBlank="1" showInputMessage="1" showErrorMessage="1" prompt="Eingabe_x000a_nur10 oder 20" sqref="H110" xr:uid="{B1F463A3-074E-4B73-A411-52D8085593DA}">
      <formula1>"10 , 20"</formula1>
    </dataValidation>
    <dataValidation type="list" allowBlank="1" showInputMessage="1" showErrorMessage="1" errorTitle="Eingabe" error="Eingabefehrler Bauklasse falsch" promptTitle="Eingabe" prompt="Eingabe Bauklasse nur:_x000a_-,I, II, III, IV" sqref="J17 J19 J21 W45 W47 W49" xr:uid="{40DB23C9-9033-435C-AB23-B635BEC96203}">
      <formula1>"-,I,II,III,IV"</formula1>
    </dataValidation>
    <dataValidation type="list" allowBlank="1" showInputMessage="1" showErrorMessage="1" sqref="D17 D19 D21 D23" xr:uid="{14ED5200-513F-4D00-A0BC-01FBDB8ACAA1}">
      <formula1>"ohne Einbehalt"</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3" max="10"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81E6-7027-423C-AF2F-D5F73F8E4D17}">
  <sheetPr>
    <tabColor theme="7" tint="0.59999389629810485"/>
  </sheetPr>
  <dimension ref="A1:X128"/>
  <sheetViews>
    <sheetView showZeros="0" topLeftCell="A106" zoomScale="130" zoomScaleNormal="130" workbookViewId="0">
      <selection activeCell="D121" sqref="D121"/>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8.7109375" style="1" customWidth="1"/>
    <col min="10" max="10" width="20"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59"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59"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59"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59"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105" t="e">
        <f>#REF!</f>
        <v>#REF!</v>
      </c>
      <c r="C27" s="1106"/>
      <c r="D27" s="1106"/>
      <c r="E27" s="1106"/>
      <c r="F27" s="1106"/>
      <c r="G27" s="1106"/>
      <c r="H27" s="1106"/>
      <c r="I27" s="1106"/>
      <c r="J27" s="1107"/>
      <c r="K27" s="19"/>
    </row>
    <row r="28" spans="1:24" x14ac:dyDescent="0.2">
      <c r="A28" s="19"/>
      <c r="B28" s="1105"/>
      <c r="C28" s="1106"/>
      <c r="D28" s="1106"/>
      <c r="E28" s="1106"/>
      <c r="F28" s="1106"/>
      <c r="G28" s="1106"/>
      <c r="H28" s="1106"/>
      <c r="I28" s="1106"/>
      <c r="J28" s="1107"/>
      <c r="K28" s="19"/>
    </row>
    <row r="29" spans="1:24" ht="15" customHeight="1" thickBot="1" x14ac:dyDescent="0.25">
      <c r="A29" s="19"/>
      <c r="B29" s="1108"/>
      <c r="C29" s="1109"/>
      <c r="D29" s="1109"/>
      <c r="E29" s="1109"/>
      <c r="F29" s="1109"/>
      <c r="G29" s="1109"/>
      <c r="H29" s="1109"/>
      <c r="I29" s="1109"/>
      <c r="J29" s="1110"/>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41" spans="1:24" ht="14.45" customHeight="1" x14ac:dyDescent="0.2">
      <c r="A41" s="8" t="s">
        <v>81</v>
      </c>
      <c r="B41" s="8" t="s">
        <v>195</v>
      </c>
    </row>
    <row r="42" spans="1:24" ht="12.75" customHeight="1" thickBot="1" x14ac:dyDescent="0.25">
      <c r="A42" s="21" t="s">
        <v>82</v>
      </c>
      <c r="B42" s="102" t="e">
        <f>#REF!</f>
        <v>#REF!</v>
      </c>
      <c r="C42" s="1084" t="e">
        <f>#REF!</f>
        <v>#REF!</v>
      </c>
      <c r="D42" s="1084"/>
      <c r="E42" s="1084"/>
      <c r="F42" s="1" t="e">
        <f>#REF!</f>
        <v>#REF!</v>
      </c>
      <c r="G42" s="105" t="e">
        <f>#REF!</f>
        <v>#REF!</v>
      </c>
      <c r="H42" s="3" t="e">
        <f>#REF!</f>
        <v>#REF!</v>
      </c>
      <c r="I42" s="1060" t="e">
        <f>#REF!</f>
        <v>#REF!</v>
      </c>
      <c r="J42" s="1060"/>
      <c r="K42" s="13"/>
      <c r="W42" s="68"/>
    </row>
    <row r="43" spans="1:24" ht="13.5" thickBot="1" x14ac:dyDescent="0.25">
      <c r="A43" s="21" t="s">
        <v>83</v>
      </c>
      <c r="B43" s="102" t="e">
        <f>#REF!</f>
        <v>#REF!</v>
      </c>
      <c r="C43" s="1084" t="e">
        <f>#REF!</f>
        <v>#REF!</v>
      </c>
      <c r="D43" s="1084"/>
      <c r="E43" s="1084"/>
      <c r="F43" s="1" t="e">
        <f>#REF!</f>
        <v>#REF!</v>
      </c>
      <c r="G43" s="105" t="e">
        <f>#REF!</f>
        <v>#REF!</v>
      </c>
      <c r="H43" s="3" t="e">
        <f>#REF!</f>
        <v>#REF!</v>
      </c>
      <c r="I43" s="1060" t="e">
        <f>#REF!</f>
        <v>#REF!</v>
      </c>
      <c r="J43" s="1060"/>
      <c r="K43" s="13"/>
      <c r="V43" s="112"/>
      <c r="W43" s="112"/>
      <c r="X43" s="8"/>
    </row>
    <row r="44" spans="1:24" ht="13.5" thickBot="1" x14ac:dyDescent="0.25">
      <c r="A44" s="1" t="s">
        <v>84</v>
      </c>
      <c r="B44" s="102" t="e">
        <f>#REF!</f>
        <v>#REF!</v>
      </c>
      <c r="C44" s="1084" t="e">
        <f>#REF!</f>
        <v>#REF!</v>
      </c>
      <c r="D44" s="1084"/>
      <c r="E44" s="1084"/>
      <c r="F44" s="1" t="e">
        <f>#REF!</f>
        <v>#REF!</v>
      </c>
      <c r="G44" s="150" t="e">
        <f>#REF!</f>
        <v>#REF!</v>
      </c>
      <c r="H44" s="3" t="e">
        <f>#REF!</f>
        <v>#REF!</v>
      </c>
      <c r="I44" s="1060" t="e">
        <f>#REF!</f>
        <v>#REF!</v>
      </c>
      <c r="J44" s="1060"/>
      <c r="K44" s="13"/>
      <c r="W44" s="68"/>
    </row>
    <row r="45" spans="1:24" ht="13.5" thickBot="1" x14ac:dyDescent="0.25">
      <c r="A45" s="1" t="s">
        <v>85</v>
      </c>
      <c r="B45" s="102" t="e">
        <f>#REF!</f>
        <v>#REF!</v>
      </c>
      <c r="C45" s="1084" t="e">
        <f>#REF!</f>
        <v>#REF!</v>
      </c>
      <c r="D45" s="1084"/>
      <c r="E45" s="1084"/>
      <c r="F45" s="1" t="e">
        <f>#REF!</f>
        <v>#REF!</v>
      </c>
      <c r="G45" s="150" t="e">
        <f>#REF!</f>
        <v>#REF!</v>
      </c>
      <c r="H45" s="3" t="e">
        <f>#REF!</f>
        <v>#REF!</v>
      </c>
      <c r="I45" s="1060" t="e">
        <f>#REF!</f>
        <v>#REF!</v>
      </c>
      <c r="J45" s="1060"/>
      <c r="K45" s="13"/>
      <c r="V45" s="112"/>
      <c r="W45" s="112"/>
      <c r="X45" s="8"/>
    </row>
    <row r="46" spans="1:24" ht="14.45" customHeight="1" thickBot="1" x14ac:dyDescent="0.25">
      <c r="A46" s="7" t="s">
        <v>187</v>
      </c>
      <c r="B46" s="71" t="e">
        <f>#REF!</f>
        <v>#REF!</v>
      </c>
      <c r="C46" s="72"/>
      <c r="D46" s="72"/>
      <c r="E46" s="1027" t="e">
        <f>#REF!</f>
        <v>#REF!</v>
      </c>
      <c r="F46" s="1027"/>
      <c r="G46" s="1075"/>
      <c r="H46" s="1075"/>
      <c r="I46" s="1076"/>
      <c r="J46" s="106" t="e">
        <f>#REF!</f>
        <v>#REF!</v>
      </c>
      <c r="K46" s="13"/>
      <c r="W46" s="68"/>
    </row>
    <row r="47" spans="1:24" ht="14.45" customHeight="1" thickBot="1" x14ac:dyDescent="0.25">
      <c r="A47" s="7" t="s">
        <v>86</v>
      </c>
      <c r="B47" s="107" t="e">
        <f>#REF!</f>
        <v>#REF!</v>
      </c>
      <c r="C47" s="1077" t="e">
        <f>#REF!</f>
        <v>#REF!</v>
      </c>
      <c r="D47" s="1077"/>
      <c r="E47" s="1078"/>
      <c r="F47" s="1078"/>
      <c r="G47" s="1079"/>
      <c r="H47" s="3" t="e">
        <f>#REF!</f>
        <v>#REF!</v>
      </c>
      <c r="I47" s="1080" t="e">
        <f>#REF!</f>
        <v>#REF!</v>
      </c>
      <c r="J47" s="1081"/>
      <c r="K47" s="13"/>
      <c r="V47" s="112"/>
      <c r="W47" s="112"/>
      <c r="X47" s="8"/>
    </row>
    <row r="48" spans="1:24" ht="14.45" customHeight="1" thickBot="1" x14ac:dyDescent="0.25">
      <c r="A48" s="1" t="s">
        <v>193</v>
      </c>
      <c r="B48" s="113" t="e">
        <f>#REF!</f>
        <v>#REF!</v>
      </c>
      <c r="C48" s="1082" t="e">
        <f>#REF!</f>
        <v>#REF!</v>
      </c>
      <c r="D48" s="1082"/>
      <c r="E48" s="1082"/>
      <c r="F48" s="1082"/>
      <c r="G48" s="1082"/>
      <c r="H48" s="3" t="e">
        <f>#REF!</f>
        <v>#REF!</v>
      </c>
      <c r="I48" s="1083" t="e">
        <f>#REF!</f>
        <v>#REF!</v>
      </c>
      <c r="J48" s="1083"/>
    </row>
    <row r="49" spans="1:24" ht="18" customHeight="1" thickBot="1" x14ac:dyDescent="0.25">
      <c r="A49" s="1" t="s">
        <v>194</v>
      </c>
      <c r="B49" s="110" t="e">
        <f>#REF!</f>
        <v>#REF!</v>
      </c>
      <c r="C49" s="1093" t="e">
        <f>#REF!</f>
        <v>#REF!</v>
      </c>
      <c r="D49" s="1094"/>
      <c r="E49" s="1094"/>
      <c r="F49" s="1094"/>
      <c r="G49" s="1094"/>
      <c r="H49" s="1094"/>
      <c r="I49" s="1094"/>
      <c r="J49" s="1095"/>
      <c r="K49" s="104" t="e">
        <f>#REF!</f>
        <v>#REF!</v>
      </c>
      <c r="V49" s="112"/>
      <c r="W49" s="112"/>
      <c r="X49" s="13"/>
    </row>
    <row r="50" spans="1:24" x14ac:dyDescent="0.2">
      <c r="A50" s="16"/>
      <c r="B50" s="64" t="e">
        <f>#REF!</f>
        <v>#REF!</v>
      </c>
      <c r="C50" s="22"/>
      <c r="D50" s="1068" t="e">
        <f>#REF!</f>
        <v>#REF!</v>
      </c>
      <c r="E50" s="1068"/>
      <c r="F50" s="1068"/>
      <c r="G50" s="1068"/>
      <c r="H50" s="1068"/>
      <c r="I50" s="1068"/>
      <c r="J50" s="1069"/>
      <c r="V50" s="15"/>
      <c r="W50" s="15"/>
      <c r="X50" s="13"/>
    </row>
    <row r="51" spans="1:24" x14ac:dyDescent="0.2">
      <c r="A51" s="23"/>
      <c r="B51" s="1044" t="e">
        <f>#REF!</f>
        <v>#REF!</v>
      </c>
      <c r="C51" s="1045"/>
      <c r="D51" s="1045"/>
      <c r="E51" s="1045"/>
      <c r="F51" s="1045"/>
      <c r="G51" s="1045"/>
      <c r="H51" s="1045"/>
      <c r="I51" s="1045"/>
      <c r="J51" s="1046"/>
      <c r="V51" s="42"/>
      <c r="W51" s="42"/>
      <c r="X51" s="12"/>
    </row>
    <row r="52" spans="1:24" x14ac:dyDescent="0.2">
      <c r="A52" s="23"/>
      <c r="B52" s="1044"/>
      <c r="C52" s="1045"/>
      <c r="D52" s="1045"/>
      <c r="E52" s="1045"/>
      <c r="F52" s="1045"/>
      <c r="G52" s="1045"/>
      <c r="H52" s="1045"/>
      <c r="I52" s="1045"/>
      <c r="J52" s="1046"/>
      <c r="V52" s="114"/>
      <c r="W52" s="114"/>
      <c r="X52" s="17"/>
    </row>
    <row r="53" spans="1:24" ht="13.15" customHeight="1" x14ac:dyDescent="0.2">
      <c r="B53" s="1070" t="s">
        <v>87</v>
      </c>
      <c r="C53" s="1070"/>
      <c r="D53" s="1070"/>
      <c r="E53" s="1070"/>
      <c r="F53" s="1070"/>
      <c r="G53" s="1070"/>
      <c r="H53" s="1070"/>
      <c r="I53" s="1070"/>
      <c r="J53" s="1070"/>
      <c r="V53" s="114"/>
      <c r="W53" s="114"/>
      <c r="X53" s="17"/>
    </row>
    <row r="54" spans="1:24" ht="13.15" customHeight="1" x14ac:dyDescent="0.2">
      <c r="B54" s="1070"/>
      <c r="C54" s="1070"/>
      <c r="D54" s="1070"/>
      <c r="E54" s="1070"/>
      <c r="F54" s="1070"/>
      <c r="G54" s="1070"/>
      <c r="H54" s="1070"/>
      <c r="I54" s="1070"/>
      <c r="J54" s="1070"/>
      <c r="V54" s="114"/>
      <c r="W54" s="114"/>
      <c r="X54" s="17"/>
    </row>
    <row r="55" spans="1:24" ht="13.15" customHeight="1" x14ac:dyDescent="0.2">
      <c r="B55" s="1070"/>
      <c r="C55" s="1070"/>
      <c r="D55" s="1070"/>
      <c r="E55" s="1070"/>
      <c r="F55" s="1070"/>
      <c r="G55" s="1070"/>
      <c r="H55" s="1070"/>
      <c r="I55" s="1070"/>
      <c r="J55" s="1070"/>
    </row>
    <row r="56" spans="1:24" x14ac:dyDescent="0.2">
      <c r="B56" s="1070"/>
      <c r="C56" s="1070"/>
      <c r="D56" s="1070"/>
      <c r="E56" s="1070"/>
      <c r="F56" s="1070"/>
      <c r="G56" s="1070"/>
      <c r="H56" s="1070"/>
      <c r="I56" s="1070"/>
      <c r="J56" s="1070"/>
      <c r="K56" s="13"/>
    </row>
    <row r="57" spans="1:24" x14ac:dyDescent="0.2">
      <c r="B57" s="1070"/>
      <c r="C57" s="1070"/>
      <c r="D57" s="1070"/>
      <c r="E57" s="1070"/>
      <c r="F57" s="1070"/>
      <c r="G57" s="1070"/>
      <c r="H57" s="1070"/>
      <c r="I57" s="1070"/>
      <c r="J57" s="1070"/>
      <c r="K57" s="13"/>
    </row>
    <row r="58" spans="1:24" x14ac:dyDescent="0.2">
      <c r="F58" s="1071" t="s">
        <v>88</v>
      </c>
      <c r="G58" s="1071"/>
      <c r="H58" s="1072"/>
      <c r="I58" s="1073" t="e">
        <f>SUM(I42:J48)+I18+I20+I22+I24</f>
        <v>#REF!</v>
      </c>
      <c r="J58" s="1074"/>
    </row>
    <row r="60" spans="1:24" x14ac:dyDescent="0.2">
      <c r="A60" s="8"/>
    </row>
    <row r="61" spans="1:24" x14ac:dyDescent="0.2">
      <c r="A61" s="8"/>
    </row>
    <row r="62" spans="1:24" ht="14.45" customHeight="1" x14ac:dyDescent="0.2">
      <c r="A62" s="8" t="s">
        <v>137</v>
      </c>
      <c r="B62" s="8"/>
      <c r="C62" s="8"/>
      <c r="H62" s="1008">
        <f>Formalien!$F$5</f>
        <v>0</v>
      </c>
      <c r="I62" s="1008"/>
      <c r="J62" s="1008"/>
      <c r="K62" s="8"/>
    </row>
    <row r="63" spans="1:24" x14ac:dyDescent="0.2">
      <c r="B63" s="1008" t="s">
        <v>1</v>
      </c>
      <c r="C63" s="1008"/>
      <c r="D63" s="1065">
        <f>$E$1</f>
        <v>0</v>
      </c>
      <c r="E63" s="1066"/>
      <c r="F63" s="1066"/>
      <c r="G63" s="3" t="s">
        <v>3</v>
      </c>
      <c r="H63" s="24">
        <f>J2</f>
        <v>0</v>
      </c>
      <c r="I63" s="7"/>
    </row>
    <row r="64" spans="1:24" x14ac:dyDescent="0.2">
      <c r="G64" s="12"/>
      <c r="H64" s="1066"/>
      <c r="I64" s="1066"/>
      <c r="J64" s="1066"/>
    </row>
    <row r="65" spans="1:11" x14ac:dyDescent="0.2">
      <c r="E65" s="1013" t="s">
        <v>89</v>
      </c>
      <c r="F65" s="1013"/>
      <c r="G65" s="1013"/>
      <c r="H65" s="1013"/>
      <c r="I65" s="1060" t="e">
        <f>I58</f>
        <v>#REF!</v>
      </c>
      <c r="J65" s="1067"/>
      <c r="K65" s="13"/>
    </row>
    <row r="66" spans="1:11" x14ac:dyDescent="0.2">
      <c r="A66" s="8" t="s">
        <v>90</v>
      </c>
      <c r="B66" s="25" t="s">
        <v>196</v>
      </c>
      <c r="C66" s="25"/>
      <c r="D66" s="25"/>
      <c r="E66" s="25"/>
      <c r="F66" s="25"/>
      <c r="G66" s="25"/>
      <c r="H66" s="25"/>
      <c r="I66" s="25"/>
      <c r="J66" s="25"/>
    </row>
    <row r="67" spans="1:11" ht="13.5" thickBot="1" x14ac:dyDescent="0.25">
      <c r="A67" s="1" t="s">
        <v>20</v>
      </c>
      <c r="B67" s="102" t="e">
        <f>#REF!</f>
        <v>#REF!</v>
      </c>
      <c r="C67" s="12" t="e">
        <f>#REF!</f>
        <v>#REF!</v>
      </c>
      <c r="E67" s="12"/>
      <c r="F67" s="12"/>
      <c r="G67" s="12"/>
      <c r="H67" s="12"/>
      <c r="I67" s="12"/>
      <c r="J67" s="12"/>
    </row>
    <row r="68" spans="1:11" x14ac:dyDescent="0.2">
      <c r="C68" s="67"/>
      <c r="D68" s="3" t="e">
        <f>#REF!</f>
        <v>#REF!</v>
      </c>
      <c r="E68" s="66" t="e">
        <f>#REF!</f>
        <v>#REF!</v>
      </c>
      <c r="F68" s="1" t="e">
        <f>#REF!</f>
        <v>#REF!</v>
      </c>
      <c r="H68" s="3" t="e">
        <f>#REF!</f>
        <v>#REF!</v>
      </c>
      <c r="I68" s="1060" t="e">
        <f>#REF!</f>
        <v>#REF!</v>
      </c>
      <c r="J68" s="1060"/>
      <c r="K68" s="13"/>
    </row>
    <row r="69" spans="1:11" ht="13.5" thickBot="1" x14ac:dyDescent="0.25">
      <c r="A69" s="1" t="s">
        <v>29</v>
      </c>
      <c r="B69" s="102" t="e">
        <f>#REF!</f>
        <v>#REF!</v>
      </c>
      <c r="C69" s="12" t="e">
        <f>#REF!</f>
        <v>#REF!</v>
      </c>
      <c r="E69" s="66" t="e">
        <f>#REF!</f>
        <v>#REF!</v>
      </c>
      <c r="F69" s="12"/>
      <c r="G69" s="12"/>
      <c r="H69" s="3" t="e">
        <f>#REF!</f>
        <v>#REF!</v>
      </c>
      <c r="I69" s="1060" t="e">
        <f>#REF!</f>
        <v>#REF!</v>
      </c>
      <c r="J69" s="1060"/>
    </row>
    <row r="70" spans="1:11" ht="13.5" thickBot="1" x14ac:dyDescent="0.25">
      <c r="A70" s="1" t="s">
        <v>91</v>
      </c>
      <c r="B70" s="103" t="e">
        <f>#REF!</f>
        <v>#REF!</v>
      </c>
      <c r="C70" s="12" t="e">
        <f>#REF!</f>
        <v>#REF!</v>
      </c>
      <c r="E70" s="66" t="e">
        <f>#REF!</f>
        <v>#REF!</v>
      </c>
      <c r="F70" s="12" t="e">
        <f>#REF!</f>
        <v>#REF!</v>
      </c>
      <c r="G70" s="12"/>
      <c r="H70" s="3" t="e">
        <f>#REF!</f>
        <v>#REF!</v>
      </c>
      <c r="I70" s="1060" t="e">
        <f>#REF!</f>
        <v>#REF!</v>
      </c>
      <c r="J70" s="1060"/>
    </row>
    <row r="71" spans="1:11" ht="13.5" thickBot="1" x14ac:dyDescent="0.25">
      <c r="A71" s="26" t="s">
        <v>92</v>
      </c>
      <c r="B71" s="1052" t="e">
        <f>#REF!</f>
        <v>#REF!</v>
      </c>
      <c r="C71" s="1061"/>
      <c r="D71" s="1061"/>
      <c r="E71" s="1061"/>
      <c r="F71" s="1061"/>
      <c r="G71" s="1062"/>
      <c r="H71" s="3" t="e">
        <f>#REF!</f>
        <v>#REF!</v>
      </c>
      <c r="I71" s="1063" t="e">
        <f>#REF!</f>
        <v>#REF!</v>
      </c>
      <c r="J71" s="1064"/>
      <c r="K71" s="13"/>
    </row>
    <row r="72" spans="1:11" ht="13.5" thickBot="1" x14ac:dyDescent="0.25">
      <c r="A72" s="12" t="s">
        <v>189</v>
      </c>
      <c r="B72" s="1052" t="e">
        <f>#REF!</f>
        <v>#REF!</v>
      </c>
      <c r="C72" s="1053"/>
      <c r="D72" s="1053"/>
      <c r="E72" s="1053"/>
      <c r="F72" s="1053"/>
      <c r="G72" s="1054"/>
      <c r="H72" s="3" t="e">
        <f>#REF!</f>
        <v>#REF!</v>
      </c>
      <c r="I72" s="1055" t="e">
        <f>#REF!</f>
        <v>#REF!</v>
      </c>
      <c r="J72" s="1056"/>
      <c r="K72" s="13"/>
    </row>
    <row r="73" spans="1:11" ht="14.45" customHeight="1" thickBot="1" x14ac:dyDescent="0.25">
      <c r="A73" s="12" t="s">
        <v>190</v>
      </c>
      <c r="B73" s="1052" t="e">
        <f>#REF!</f>
        <v>#REF!</v>
      </c>
      <c r="C73" s="1053"/>
      <c r="D73" s="1053"/>
      <c r="E73" s="1053"/>
      <c r="F73" s="1053"/>
      <c r="G73" s="1054"/>
      <c r="H73" s="3" t="e">
        <f>#REF!</f>
        <v>#REF!</v>
      </c>
      <c r="I73" s="1055" t="e">
        <f>#REF!</f>
        <v>#REF!</v>
      </c>
      <c r="J73" s="1056"/>
      <c r="K73" s="13"/>
    </row>
    <row r="74" spans="1:11" ht="13.5" thickBot="1" x14ac:dyDescent="0.25">
      <c r="A74" s="26" t="s">
        <v>191</v>
      </c>
      <c r="B74" s="1052" t="e">
        <f>#REF!</f>
        <v>#REF!</v>
      </c>
      <c r="C74" s="1053"/>
      <c r="D74" s="1053"/>
      <c r="E74" s="1053"/>
      <c r="F74" s="1053"/>
      <c r="G74" s="1054"/>
      <c r="H74" s="3" t="e">
        <f>#REF!</f>
        <v>#REF!</v>
      </c>
      <c r="I74" s="1055" t="e">
        <f>#REF!</f>
        <v>#REF!</v>
      </c>
      <c r="J74" s="1056"/>
      <c r="K74" s="13"/>
    </row>
    <row r="75" spans="1:11" ht="13.15" customHeight="1" x14ac:dyDescent="0.2">
      <c r="A75" s="1" t="s">
        <v>192</v>
      </c>
      <c r="B75" s="1038" t="e">
        <f>#REF!</f>
        <v>#REF!</v>
      </c>
      <c r="C75" s="1038"/>
      <c r="D75" s="1038"/>
      <c r="E75" s="1038"/>
      <c r="F75" s="1038"/>
      <c r="G75" s="1038"/>
      <c r="H75" s="1038"/>
      <c r="I75" s="1058" t="e">
        <f>#REF!</f>
        <v>#REF!</v>
      </c>
      <c r="J75" s="1058"/>
    </row>
    <row r="76" spans="1:11" ht="14.45" customHeight="1" thickBot="1" x14ac:dyDescent="0.25">
      <c r="A76" s="19"/>
      <c r="B76" s="1057"/>
      <c r="C76" s="1057"/>
      <c r="D76" s="1057"/>
      <c r="E76" s="1057"/>
      <c r="F76" s="1057"/>
      <c r="G76" s="1057"/>
      <c r="H76" s="1057"/>
      <c r="I76" s="1059"/>
      <c r="J76" s="1059"/>
    </row>
    <row r="77" spans="1:11" x14ac:dyDescent="0.2">
      <c r="A77" s="74" t="s">
        <v>203</v>
      </c>
      <c r="B77" s="1050" t="e">
        <f>#REF!</f>
        <v>#REF!</v>
      </c>
      <c r="C77" s="1051"/>
      <c r="D77" s="1041" t="e">
        <f>#REF!</f>
        <v>#REF!</v>
      </c>
      <c r="E77" s="1041"/>
      <c r="F77" s="1041"/>
      <c r="G77" s="1041"/>
      <c r="H77" s="1041"/>
      <c r="I77" s="1042"/>
      <c r="J77" s="1043"/>
    </row>
    <row r="78" spans="1:11" x14ac:dyDescent="0.2">
      <c r="A78" s="74" t="s">
        <v>204</v>
      </c>
      <c r="B78" s="1044" t="e">
        <f>#REF!</f>
        <v>#REF!</v>
      </c>
      <c r="C78" s="1045"/>
      <c r="D78" s="1045"/>
      <c r="E78" s="1045"/>
      <c r="F78" s="1045"/>
      <c r="G78" s="1045"/>
      <c r="H78" s="1045"/>
      <c r="I78" s="1045"/>
      <c r="J78" s="1046"/>
    </row>
    <row r="79" spans="1:11" x14ac:dyDescent="0.2">
      <c r="A79" s="23"/>
      <c r="B79" s="1044"/>
      <c r="C79" s="1045"/>
      <c r="D79" s="1045"/>
      <c r="E79" s="1045"/>
      <c r="F79" s="1045"/>
      <c r="G79" s="1045"/>
      <c r="H79" s="1045"/>
      <c r="I79" s="1045"/>
      <c r="J79" s="1046"/>
    </row>
    <row r="80" spans="1:11" x14ac:dyDescent="0.2">
      <c r="A80" s="19"/>
      <c r="B80" s="1047"/>
      <c r="C80" s="1048"/>
      <c r="D80" s="1048"/>
      <c r="E80" s="1048"/>
      <c r="F80" s="1048"/>
      <c r="G80" s="1048"/>
      <c r="H80" s="1048"/>
      <c r="I80" s="1048"/>
      <c r="J80" s="1049"/>
    </row>
    <row r="81" spans="1:11" x14ac:dyDescent="0.2">
      <c r="A81" s="8" t="s">
        <v>93</v>
      </c>
      <c r="B81" s="792" t="s">
        <v>94</v>
      </c>
      <c r="C81" s="792"/>
      <c r="D81" s="792"/>
      <c r="E81" s="792"/>
      <c r="F81" s="792"/>
      <c r="G81" s="792"/>
      <c r="H81" s="792"/>
      <c r="I81" s="792"/>
      <c r="J81" s="792"/>
    </row>
    <row r="82" spans="1:11" x14ac:dyDescent="0.2">
      <c r="B82" s="792" t="s">
        <v>95</v>
      </c>
      <c r="C82" s="792"/>
      <c r="D82" s="792"/>
      <c r="E82" s="792"/>
      <c r="F82" s="792"/>
      <c r="G82" s="792"/>
      <c r="H82" s="792"/>
      <c r="I82" s="792"/>
      <c r="J82" s="344"/>
    </row>
    <row r="83" spans="1:11" ht="13.5" thickBot="1" x14ac:dyDescent="0.25">
      <c r="B83" s="792" t="s">
        <v>96</v>
      </c>
      <c r="C83" s="792"/>
      <c r="D83" s="792"/>
      <c r="E83" s="792"/>
      <c r="F83" s="792"/>
      <c r="G83" s="792"/>
      <c r="H83" s="792"/>
      <c r="I83" s="792"/>
      <c r="J83" s="792"/>
    </row>
    <row r="84" spans="1:11" ht="13.5" thickBot="1" x14ac:dyDescent="0.25">
      <c r="B84" s="792" t="s">
        <v>409</v>
      </c>
      <c r="C84" s="792"/>
      <c r="D84" s="792"/>
      <c r="E84" s="792"/>
      <c r="F84" s="792"/>
      <c r="G84" s="792"/>
      <c r="H84" s="792"/>
      <c r="I84" s="792"/>
      <c r="J84" s="1113"/>
      <c r="K84" s="27" t="e">
        <f>#REF!</f>
        <v>#REF!</v>
      </c>
    </row>
    <row r="85" spans="1:11" ht="13.5" thickBot="1" x14ac:dyDescent="0.25">
      <c r="A85" s="8" t="s">
        <v>98</v>
      </c>
      <c r="B85" s="789" t="s">
        <v>99</v>
      </c>
      <c r="C85" s="789"/>
      <c r="D85" s="789"/>
      <c r="E85" s="789"/>
      <c r="F85" s="789"/>
      <c r="G85" s="789"/>
      <c r="H85" s="789"/>
      <c r="I85" s="789"/>
      <c r="J85" s="789"/>
    </row>
    <row r="86" spans="1:11" ht="13.5" thickBot="1" x14ac:dyDescent="0.25">
      <c r="B86" s="792" t="s">
        <v>415</v>
      </c>
      <c r="C86" s="792"/>
      <c r="D86" s="792"/>
      <c r="E86" s="792"/>
      <c r="F86" s="792"/>
      <c r="G86" s="792"/>
      <c r="H86" s="792"/>
      <c r="I86" s="792"/>
      <c r="J86" s="1113"/>
      <c r="K86" s="28" t="e">
        <f>#REF!</f>
        <v>#REF!</v>
      </c>
    </row>
    <row r="87" spans="1:11" x14ac:dyDescent="0.2">
      <c r="A87" s="25" t="s">
        <v>101</v>
      </c>
      <c r="B87" s="1114" t="s">
        <v>413</v>
      </c>
      <c r="C87" s="1114"/>
      <c r="D87" s="1114"/>
      <c r="E87" s="1114"/>
      <c r="F87" s="1114"/>
      <c r="G87" s="1114"/>
      <c r="H87" s="1114"/>
      <c r="I87" s="1114"/>
      <c r="J87" s="1114"/>
    </row>
    <row r="88" spans="1:11" x14ac:dyDescent="0.2">
      <c r="A88" s="338" t="e">
        <f>#REF!</f>
        <v>#REF!</v>
      </c>
      <c r="B88" s="792" t="e">
        <f>#REF!</f>
        <v>#REF!</v>
      </c>
      <c r="C88" s="792"/>
      <c r="D88" s="792"/>
      <c r="E88" s="792"/>
      <c r="F88" s="792"/>
      <c r="G88" s="792"/>
      <c r="H88" s="792"/>
      <c r="I88" s="792"/>
      <c r="J88" s="349" t="e">
        <f>#REF!</f>
        <v>#REF!</v>
      </c>
      <c r="K88" s="347"/>
    </row>
    <row r="89" spans="1:11" ht="13.5" thickBot="1" x14ac:dyDescent="0.25">
      <c r="A89" s="1111" t="s">
        <v>338</v>
      </c>
      <c r="B89" s="1111"/>
      <c r="C89" s="1111"/>
      <c r="D89" s="1111"/>
      <c r="E89" s="1111"/>
      <c r="F89" s="331"/>
      <c r="G89" s="350" t="e">
        <f>#REF!</f>
        <v>#REF!</v>
      </c>
      <c r="H89" s="773" t="s">
        <v>102</v>
      </c>
      <c r="I89" s="773"/>
      <c r="J89" s="773"/>
      <c r="K89" s="331" t="e">
        <f>#REF!</f>
        <v>#REF!</v>
      </c>
    </row>
    <row r="90" spans="1:11" x14ac:dyDescent="0.2">
      <c r="A90" s="331"/>
      <c r="B90" s="331" t="e">
        <f>#REF!</f>
        <v>#REF!</v>
      </c>
      <c r="C90" s="331"/>
      <c r="D90" s="331"/>
      <c r="E90" s="351" t="e">
        <f>#REF!</f>
        <v>#REF!</v>
      </c>
      <c r="F90" s="331" t="e">
        <f>#REF!</f>
        <v>#REF!</v>
      </c>
      <c r="G90" s="352" t="e">
        <f>#REF!</f>
        <v>#REF!</v>
      </c>
      <c r="H90" s="331" t="e">
        <f>#REF!</f>
        <v>#REF!</v>
      </c>
      <c r="I90" s="331"/>
      <c r="J90" s="353" t="e">
        <f>#REF!</f>
        <v>#REF!</v>
      </c>
      <c r="K90" s="338" t="e">
        <f>#REF!</f>
        <v>#REF!</v>
      </c>
    </row>
    <row r="91" spans="1:11" x14ac:dyDescent="0.2">
      <c r="A91" s="348" t="s">
        <v>177</v>
      </c>
      <c r="B91" s="792" t="e">
        <f>#REF!</f>
        <v>#REF!</v>
      </c>
      <c r="C91" s="792"/>
      <c r="D91" s="792"/>
      <c r="E91" s="792"/>
      <c r="F91" s="792"/>
      <c r="G91" s="792"/>
      <c r="H91" s="792"/>
      <c r="I91" s="792"/>
      <c r="J91" s="792"/>
      <c r="K91" s="792"/>
    </row>
    <row r="92" spans="1:11" x14ac:dyDescent="0.2">
      <c r="A92" s="331"/>
      <c r="B92" s="792" t="e">
        <f>#REF!</f>
        <v>#REF!</v>
      </c>
      <c r="C92" s="792"/>
      <c r="D92" s="792"/>
      <c r="E92" s="792"/>
      <c r="F92" s="792"/>
      <c r="G92" s="792"/>
      <c r="H92" s="792"/>
      <c r="I92" s="792"/>
      <c r="J92" s="792"/>
      <c r="K92" s="792"/>
    </row>
    <row r="93" spans="1:11" ht="14.45" customHeight="1" thickBot="1" x14ac:dyDescent="0.25">
      <c r="A93" s="331"/>
      <c r="B93" s="792" t="e">
        <f>#REF!</f>
        <v>#REF!</v>
      </c>
      <c r="C93" s="792"/>
      <c r="D93" s="792"/>
      <c r="E93" s="354" t="e">
        <f>#REF!</f>
        <v>#REF!</v>
      </c>
      <c r="F93" s="331" t="e">
        <f>#REF!</f>
        <v>#REF!</v>
      </c>
      <c r="G93" s="355" t="e">
        <f>#REF!</f>
        <v>#REF!</v>
      </c>
      <c r="H93" s="330" t="e">
        <f>#REF!</f>
        <v>#REF!</v>
      </c>
      <c r="I93" s="1112" t="e">
        <f>#REF!</f>
        <v>#REF!</v>
      </c>
      <c r="J93" s="1112"/>
      <c r="K93" s="338" t="e">
        <f>#REF!</f>
        <v>#REF!</v>
      </c>
    </row>
    <row r="94" spans="1:11" x14ac:dyDescent="0.2">
      <c r="A94" s="338" t="s">
        <v>178</v>
      </c>
      <c r="B94" s="792" t="e">
        <f>#REF!</f>
        <v>#REF!</v>
      </c>
      <c r="C94" s="792"/>
      <c r="D94" s="792"/>
      <c r="E94" s="792"/>
      <c r="F94" s="792"/>
      <c r="G94" s="792"/>
      <c r="H94" s="792"/>
      <c r="I94" s="792"/>
      <c r="J94" s="792"/>
      <c r="K94" s="338" t="e">
        <f>#REF!</f>
        <v>#REF!</v>
      </c>
    </row>
    <row r="95" spans="1:11" x14ac:dyDescent="0.2">
      <c r="B95" s="1008" t="e">
        <f>#REF!</f>
        <v>#REF!</v>
      </c>
      <c r="C95" s="1008"/>
      <c r="D95" s="1008"/>
      <c r="E95" s="1008"/>
      <c r="F95" s="1008"/>
      <c r="G95" s="1008"/>
      <c r="H95" s="1008"/>
      <c r="I95" s="1008"/>
      <c r="J95" s="29"/>
      <c r="K95" s="8" t="e">
        <f>#REF!</f>
        <v>#REF!</v>
      </c>
    </row>
    <row r="96" spans="1:11" ht="13.5" thickBot="1" x14ac:dyDescent="0.25">
      <c r="B96" s="1008" t="e">
        <f>#REF!</f>
        <v>#REF!</v>
      </c>
      <c r="C96" s="1008"/>
      <c r="D96" s="1008"/>
      <c r="E96" s="1008"/>
      <c r="G96" s="4"/>
      <c r="H96" s="3" t="e">
        <f>#REF!</f>
        <v>#REF!</v>
      </c>
      <c r="I96" s="29"/>
      <c r="J96" s="154" t="e">
        <f>#REF!</f>
        <v>#REF!</v>
      </c>
      <c r="K96" s="8"/>
    </row>
    <row r="97" spans="1:11" ht="13.5" thickBot="1" x14ac:dyDescent="0.25">
      <c r="A97" s="8" t="s">
        <v>199</v>
      </c>
      <c r="B97" s="344" t="e">
        <f>#REF!</f>
        <v>#REF!</v>
      </c>
      <c r="C97" s="12"/>
      <c r="D97" s="12"/>
      <c r="E97" s="12"/>
      <c r="G97" s="4"/>
      <c r="H97" s="3" t="e">
        <f>#REF!</f>
        <v>#REF!</v>
      </c>
      <c r="I97" s="30"/>
      <c r="J97" s="155" t="e">
        <f>#REF!</f>
        <v>#REF!</v>
      </c>
      <c r="K97" s="8"/>
    </row>
    <row r="98" spans="1:11" ht="14.25" thickTop="1" thickBot="1" x14ac:dyDescent="0.25">
      <c r="B98" s="789" t="e">
        <f>#REF!</f>
        <v>#REF!</v>
      </c>
      <c r="C98" s="789"/>
      <c r="D98" s="789"/>
      <c r="E98" s="789"/>
      <c r="F98" s="789"/>
      <c r="G98" s="789"/>
      <c r="H98" s="3" t="e">
        <f>#REF!</f>
        <v>#REF!</v>
      </c>
      <c r="I98" s="1036" t="e">
        <f>#REF!</f>
        <v>#REF!</v>
      </c>
      <c r="J98" s="1037"/>
      <c r="K98" s="13"/>
    </row>
    <row r="99" spans="1:11" ht="13.5" customHeight="1" thickTop="1" x14ac:dyDescent="0.2">
      <c r="A99" s="8" t="s">
        <v>103</v>
      </c>
      <c r="B99" s="1117" t="s">
        <v>364</v>
      </c>
      <c r="C99" s="1117"/>
      <c r="D99" s="1117"/>
      <c r="E99" s="1117"/>
      <c r="F99" s="1117"/>
      <c r="G99" s="1117"/>
      <c r="H99" s="1117"/>
      <c r="I99" s="1117"/>
      <c r="J99" s="1117"/>
      <c r="K99" s="17"/>
    </row>
    <row r="100" spans="1:11" x14ac:dyDescent="0.2">
      <c r="B100" s="1117"/>
      <c r="C100" s="1117"/>
      <c r="D100" s="1117"/>
      <c r="E100" s="1117"/>
      <c r="F100" s="1117"/>
      <c r="G100" s="1117"/>
      <c r="H100" s="1117"/>
      <c r="I100" s="1117"/>
      <c r="J100" s="1117"/>
      <c r="K100" s="17"/>
    </row>
    <row r="101" spans="1:11" x14ac:dyDescent="0.2">
      <c r="B101" s="1117"/>
      <c r="C101" s="1117"/>
      <c r="D101" s="1117"/>
      <c r="E101" s="1117"/>
      <c r="F101" s="1117"/>
      <c r="G101" s="1117"/>
      <c r="H101" s="1117"/>
      <c r="I101" s="1117"/>
      <c r="J101" s="1117"/>
      <c r="K101" s="17"/>
    </row>
    <row r="102" spans="1:11" ht="13.5" thickBot="1" x14ac:dyDescent="0.25">
      <c r="B102" s="1117"/>
      <c r="C102" s="1117"/>
      <c r="D102" s="1117"/>
      <c r="E102" s="1117"/>
      <c r="F102" s="1117"/>
      <c r="G102" s="1117"/>
      <c r="H102" s="1117"/>
      <c r="I102" s="1117"/>
      <c r="J102" s="1117"/>
      <c r="K102" s="17"/>
    </row>
    <row r="103" spans="1:11" ht="13.5" thickBot="1" x14ac:dyDescent="0.25">
      <c r="B103" s="1117"/>
      <c r="C103" s="1117"/>
      <c r="D103" s="1117"/>
      <c r="E103" s="1117"/>
      <c r="F103" s="1117"/>
      <c r="G103" s="1117"/>
      <c r="H103" s="1117"/>
      <c r="I103" s="1117"/>
      <c r="J103" s="1117"/>
      <c r="K103" s="73" t="e">
        <f>#REF!</f>
        <v>#REF!</v>
      </c>
    </row>
    <row r="104" spans="1:11" x14ac:dyDescent="0.2">
      <c r="B104" s="1117"/>
      <c r="C104" s="1117"/>
      <c r="D104" s="1117"/>
      <c r="E104" s="1117"/>
      <c r="F104" s="1117"/>
      <c r="G104" s="1117"/>
      <c r="H104" s="1117"/>
      <c r="I104" s="1117"/>
      <c r="J104" s="1117"/>
      <c r="K104" s="75"/>
    </row>
    <row r="105" spans="1:11" ht="13.5" thickBot="1" x14ac:dyDescent="0.25">
      <c r="A105" s="8" t="s">
        <v>104</v>
      </c>
      <c r="B105" s="792" t="s">
        <v>364</v>
      </c>
      <c r="C105" s="792"/>
      <c r="D105" s="792"/>
      <c r="E105" s="1026" t="e">
        <f>#REF!</f>
        <v>#REF!</v>
      </c>
      <c r="F105" s="1027"/>
      <c r="G105" s="1027"/>
      <c r="H105" s="1008"/>
      <c r="I105" s="1008"/>
      <c r="J105" s="1008"/>
    </row>
    <row r="106" spans="1:11" ht="13.5" thickBot="1" x14ac:dyDescent="0.25">
      <c r="A106" s="8"/>
      <c r="B106" s="1013"/>
      <c r="C106" s="1013"/>
      <c r="D106" s="1013"/>
      <c r="E106" s="1013"/>
      <c r="F106" s="1013"/>
      <c r="G106" s="1013"/>
      <c r="H106" s="1013"/>
      <c r="I106" s="1013"/>
      <c r="J106" s="1013"/>
      <c r="K106" s="8"/>
    </row>
    <row r="107" spans="1:11" ht="16.5" thickBot="1" x14ac:dyDescent="0.3">
      <c r="A107" s="8"/>
      <c r="B107" s="1008"/>
      <c r="C107" s="1008"/>
      <c r="D107" s="1008"/>
      <c r="E107" s="1008"/>
      <c r="F107" s="1008"/>
      <c r="G107" s="1008"/>
      <c r="H107" s="32" t="e">
        <f>#REF!</f>
        <v>#REF!</v>
      </c>
      <c r="I107" s="31"/>
      <c r="J107" s="31"/>
      <c r="K107" s="33" t="e">
        <f>#REF!</f>
        <v>#REF!</v>
      </c>
    </row>
    <row r="108" spans="1:11" ht="13.5" thickBot="1" x14ac:dyDescent="0.25">
      <c r="A108" s="8" t="s">
        <v>105</v>
      </c>
      <c r="B108" s="789" t="s">
        <v>106</v>
      </c>
      <c r="C108" s="789"/>
      <c r="D108" s="789"/>
      <c r="E108" s="789"/>
      <c r="F108" s="789"/>
      <c r="G108" s="789"/>
      <c r="H108" s="789"/>
      <c r="I108" s="789"/>
      <c r="J108" s="789"/>
    </row>
    <row r="109" spans="1:11" ht="13.5" thickBot="1" x14ac:dyDescent="0.25">
      <c r="B109" s="789" t="s">
        <v>107</v>
      </c>
      <c r="C109" s="789"/>
      <c r="D109" s="789"/>
      <c r="E109" s="789"/>
      <c r="F109" s="789"/>
      <c r="G109" s="789"/>
      <c r="H109" s="789"/>
      <c r="I109" s="789"/>
      <c r="J109" s="1118"/>
      <c r="K109" s="28" t="e">
        <f>#REF!</f>
        <v>#REF!</v>
      </c>
    </row>
    <row r="110" spans="1:11" x14ac:dyDescent="0.2">
      <c r="B110" s="1119" t="s">
        <v>108</v>
      </c>
      <c r="C110" s="1119"/>
      <c r="D110" s="1119"/>
      <c r="E110" s="1119"/>
      <c r="F110" s="1119"/>
      <c r="G110" s="1119"/>
      <c r="H110" s="1119"/>
      <c r="I110" s="1119"/>
      <c r="J110" s="1119"/>
      <c r="K110" s="8"/>
    </row>
    <row r="111" spans="1:11" x14ac:dyDescent="0.2">
      <c r="A111" s="34" t="s">
        <v>109</v>
      </c>
      <c r="B111" s="1115" t="s">
        <v>364</v>
      </c>
      <c r="C111" s="1116"/>
      <c r="D111" s="1034" t="e">
        <f>#REF!</f>
        <v>#REF!</v>
      </c>
      <c r="E111" s="1034"/>
      <c r="F111" s="1034"/>
      <c r="G111" s="1034"/>
      <c r="H111" s="1034"/>
      <c r="I111" s="1034"/>
      <c r="J111" s="1035"/>
    </row>
    <row r="112" spans="1:11" x14ac:dyDescent="0.2">
      <c r="A112" s="34"/>
      <c r="B112" s="1096" t="e">
        <f>#REF!</f>
        <v>#REF!</v>
      </c>
      <c r="C112" s="1013"/>
      <c r="D112" s="1013"/>
      <c r="E112" s="1013"/>
      <c r="F112" s="1013"/>
      <c r="G112" s="1013"/>
      <c r="H112" s="1013"/>
      <c r="I112" s="1013"/>
      <c r="J112" s="1097"/>
    </row>
    <row r="113" spans="1:12" ht="15.75" thickBot="1" x14ac:dyDescent="0.3">
      <c r="A113" s="1120" t="s">
        <v>58</v>
      </c>
      <c r="B113" s="1120"/>
      <c r="C113" s="1121">
        <f>Formalien!$E$14</f>
        <v>0</v>
      </c>
      <c r="D113" s="1121"/>
      <c r="E113" s="356" t="s">
        <v>120</v>
      </c>
      <c r="F113" s="1122">
        <f>Formalien!$E$12</f>
        <v>0</v>
      </c>
      <c r="G113" s="1122"/>
      <c r="H113" s="357" t="s">
        <v>110</v>
      </c>
      <c r="I113" s="1122">
        <f>Formalien!$E$13</f>
        <v>0</v>
      </c>
      <c r="J113" s="1122"/>
    </row>
    <row r="114" spans="1:12" ht="14.45" customHeight="1" x14ac:dyDescent="0.2">
      <c r="A114" s="1013"/>
      <c r="B114" s="1013"/>
      <c r="C114" s="1013"/>
      <c r="D114" s="1013"/>
      <c r="E114" s="1013"/>
      <c r="F114" s="1013"/>
      <c r="G114" s="1013"/>
      <c r="H114" s="1013"/>
      <c r="I114" s="1013"/>
      <c r="J114" s="1013"/>
    </row>
    <row r="115" spans="1:12" ht="15.75" thickBot="1" x14ac:dyDescent="0.3">
      <c r="A115" s="1120" t="s">
        <v>58</v>
      </c>
      <c r="B115" s="1120"/>
      <c r="C115" s="1123"/>
      <c r="D115" s="1123"/>
      <c r="E115" s="193"/>
      <c r="F115" s="193"/>
      <c r="G115" s="356" t="s">
        <v>111</v>
      </c>
      <c r="H115" s="1124"/>
      <c r="I115" s="1124"/>
      <c r="J115" s="1124"/>
    </row>
    <row r="116" spans="1:12" x14ac:dyDescent="0.2">
      <c r="A116" s="1013"/>
      <c r="B116" s="1013"/>
      <c r="C116" s="1013"/>
      <c r="D116" s="1013"/>
      <c r="E116" s="1013"/>
      <c r="F116" s="1013"/>
      <c r="G116" s="1013"/>
      <c r="H116" s="1013"/>
      <c r="I116" s="1013"/>
      <c r="J116" s="1013"/>
    </row>
    <row r="118" spans="1:12" x14ac:dyDescent="0.2">
      <c r="A118" s="8"/>
      <c r="I118" s="14"/>
      <c r="J118" s="14"/>
    </row>
    <row r="119" spans="1:12" x14ac:dyDescent="0.2">
      <c r="B119" s="56"/>
      <c r="C119" s="1013"/>
      <c r="D119" s="1013"/>
      <c r="E119" s="1013"/>
      <c r="F119" s="1013"/>
      <c r="G119" s="1013"/>
      <c r="H119" s="1013"/>
      <c r="I119" s="1013"/>
      <c r="J119" s="1013"/>
      <c r="K119" s="1013"/>
      <c r="L119" s="1013"/>
    </row>
    <row r="120" spans="1:12" x14ac:dyDescent="0.2">
      <c r="A120" s="36"/>
      <c r="B120" s="36"/>
      <c r="C120" s="36"/>
      <c r="D120" s="36"/>
      <c r="E120" s="36"/>
      <c r="F120" s="36"/>
      <c r="G120" s="36"/>
      <c r="H120" s="36"/>
      <c r="I120" s="36"/>
      <c r="J120" s="36"/>
      <c r="K120" s="17"/>
    </row>
    <row r="121" spans="1:12" x14ac:dyDescent="0.2">
      <c r="A121" s="36"/>
      <c r="B121" s="36"/>
      <c r="C121" s="36"/>
      <c r="D121" s="36"/>
      <c r="E121" s="36"/>
      <c r="F121" s="36"/>
      <c r="G121" s="36"/>
      <c r="H121" s="36"/>
      <c r="I121" s="36"/>
      <c r="J121" s="36"/>
      <c r="K121" s="17"/>
    </row>
    <row r="122" spans="1:12" x14ac:dyDescent="0.2">
      <c r="A122" s="36"/>
      <c r="B122" s="56"/>
      <c r="C122" s="36"/>
      <c r="D122" s="36"/>
      <c r="E122" s="36"/>
      <c r="F122" s="36"/>
      <c r="G122" s="36"/>
      <c r="H122" s="36"/>
      <c r="I122" s="36"/>
      <c r="J122" s="36"/>
      <c r="K122" s="17"/>
    </row>
    <row r="125" spans="1:12" x14ac:dyDescent="0.2">
      <c r="B125" s="56"/>
    </row>
    <row r="126" spans="1:12" x14ac:dyDescent="0.2">
      <c r="B126" s="56"/>
    </row>
    <row r="128" spans="1:12" x14ac:dyDescent="0.2">
      <c r="B128" s="56"/>
    </row>
  </sheetData>
  <sheetProtection selectLockedCells="1" selectUnlockedCells="1"/>
  <mergeCells count="106">
    <mergeCell ref="A116:J116"/>
    <mergeCell ref="B109:J109"/>
    <mergeCell ref="B110:J110"/>
    <mergeCell ref="D111:J111"/>
    <mergeCell ref="A113:B113"/>
    <mergeCell ref="C113:D113"/>
    <mergeCell ref="F113:G113"/>
    <mergeCell ref="I113:J113"/>
    <mergeCell ref="A115:B115"/>
    <mergeCell ref="C115:D115"/>
    <mergeCell ref="H115:J115"/>
    <mergeCell ref="A114:J114"/>
    <mergeCell ref="B105:D105"/>
    <mergeCell ref="E105:G105"/>
    <mergeCell ref="H105:J105"/>
    <mergeCell ref="B106:J106"/>
    <mergeCell ref="B107:G107"/>
    <mergeCell ref="B108:J108"/>
    <mergeCell ref="B111:C111"/>
    <mergeCell ref="B112:J112"/>
    <mergeCell ref="B94:J94"/>
    <mergeCell ref="B95:I95"/>
    <mergeCell ref="B96:E96"/>
    <mergeCell ref="B98:G98"/>
    <mergeCell ref="I98:J98"/>
    <mergeCell ref="B99:J104"/>
    <mergeCell ref="A89:E89"/>
    <mergeCell ref="H89:J89"/>
    <mergeCell ref="B91:K91"/>
    <mergeCell ref="B92:K92"/>
    <mergeCell ref="B93:D93"/>
    <mergeCell ref="I93:J93"/>
    <mergeCell ref="B84:J84"/>
    <mergeCell ref="B85:J85"/>
    <mergeCell ref="B86:J86"/>
    <mergeCell ref="B87:J87"/>
    <mergeCell ref="B88:I88"/>
    <mergeCell ref="B77:C77"/>
    <mergeCell ref="D77:J77"/>
    <mergeCell ref="B78:J80"/>
    <mergeCell ref="B81:J81"/>
    <mergeCell ref="B82:I82"/>
    <mergeCell ref="B83:J83"/>
    <mergeCell ref="B73:G73"/>
    <mergeCell ref="I73:J73"/>
    <mergeCell ref="B74:G74"/>
    <mergeCell ref="I74:J74"/>
    <mergeCell ref="B75:H76"/>
    <mergeCell ref="I75:J76"/>
    <mergeCell ref="I68:J68"/>
    <mergeCell ref="I69:J69"/>
    <mergeCell ref="I70:J70"/>
    <mergeCell ref="B71:G71"/>
    <mergeCell ref="I71:J71"/>
    <mergeCell ref="B72:G72"/>
    <mergeCell ref="I72:J72"/>
    <mergeCell ref="H62:J62"/>
    <mergeCell ref="B63:C63"/>
    <mergeCell ref="D63:F63"/>
    <mergeCell ref="H64:J64"/>
    <mergeCell ref="E65:H65"/>
    <mergeCell ref="I65:J65"/>
    <mergeCell ref="D50:J50"/>
    <mergeCell ref="B51:J52"/>
    <mergeCell ref="B53:J57"/>
    <mergeCell ref="F58:H58"/>
    <mergeCell ref="I58:J58"/>
    <mergeCell ref="E46:F46"/>
    <mergeCell ref="G46:I46"/>
    <mergeCell ref="C47:G47"/>
    <mergeCell ref="I47:J47"/>
    <mergeCell ref="C48:G48"/>
    <mergeCell ref="I48:J48"/>
    <mergeCell ref="C45:E45"/>
    <mergeCell ref="I45:J45"/>
    <mergeCell ref="F24:G24"/>
    <mergeCell ref="I24:J24"/>
    <mergeCell ref="D26:J26"/>
    <mergeCell ref="B27:J29"/>
    <mergeCell ref="C42:E42"/>
    <mergeCell ref="I42:J42"/>
    <mergeCell ref="C49:J49"/>
    <mergeCell ref="C119:L119"/>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3:E43"/>
    <mergeCell ref="I43:J43"/>
    <mergeCell ref="C44:E44"/>
    <mergeCell ref="I44:J44"/>
  </mergeCells>
  <dataValidations count="3">
    <dataValidation type="list" allowBlank="1" showInputMessage="1" showErrorMessage="1" sqref="D17 D19 D21 D23" xr:uid="{B4A4C4CA-FAFF-4EE6-A25A-9923A0634AC4}">
      <formula1>"ohne Einbehalt"</formula1>
    </dataValidation>
    <dataValidation type="list" allowBlank="1" showInputMessage="1" showErrorMessage="1" errorTitle="Eingabe" error="Eingabefehrler Bauklasse falsch" promptTitle="Eingabe" prompt="Eingabe Bauklasse nur:_x000a_-,I, II, III, IV" sqref="J17 J19 J21 W42 W44 W46" xr:uid="{22C12C5C-ACCA-444E-982A-526B6B366369}">
      <formula1>"-,I,II,III,IV"</formula1>
    </dataValidation>
    <dataValidation type="list" allowBlank="1" showInputMessage="1" showErrorMessage="1" prompt="Eingabe_x000a_nur10 oder 20" sqref="H107" xr:uid="{81072277-651F-494A-8046-917808C50C74}">
      <formula1>"10 , 20"</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0" max="10" man="1"/>
  </row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6"/>
  <sheetViews>
    <sheetView showZeros="0" zoomScaleNormal="100" workbookViewId="0">
      <selection activeCell="C7" sqref="C7:G7"/>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416</v>
      </c>
      <c r="B2" s="1013"/>
      <c r="C2" s="1013"/>
      <c r="D2" s="1013"/>
      <c r="E2" s="1013"/>
      <c r="F2" s="1013"/>
      <c r="G2" s="1013"/>
      <c r="H2" s="42"/>
    </row>
    <row r="3" spans="1:9" x14ac:dyDescent="0.2">
      <c r="A3" s="1130" t="s">
        <v>124</v>
      </c>
      <c r="B3" s="1130"/>
      <c r="C3" s="1130"/>
      <c r="D3" s="1130"/>
      <c r="E3" s="1130"/>
      <c r="F3" s="1130"/>
      <c r="G3" s="1130"/>
      <c r="H3" s="42"/>
      <c r="I3" s="42"/>
    </row>
    <row r="4" spans="1:9" ht="15.95" customHeight="1" x14ac:dyDescent="0.2">
      <c r="A4" s="1130"/>
      <c r="B4" s="1130"/>
      <c r="C4" s="1130"/>
      <c r="D4" s="1130"/>
      <c r="E4" s="1130"/>
      <c r="F4" s="1130"/>
      <c r="G4" s="1130"/>
      <c r="H4" s="42"/>
    </row>
    <row r="5" spans="1:9" x14ac:dyDescent="0.2">
      <c r="A5" s="1013"/>
      <c r="B5" s="1013"/>
      <c r="C5" s="1013"/>
      <c r="D5" s="1013"/>
      <c r="E5" s="1013"/>
      <c r="F5" s="1013"/>
      <c r="G5" s="14"/>
      <c r="H5" s="42"/>
    </row>
    <row r="6" spans="1:9" ht="15" customHeight="1" x14ac:dyDescent="0.2">
      <c r="A6" s="1014" t="s">
        <v>0</v>
      </c>
      <c r="B6" s="1014"/>
      <c r="C6" s="1131">
        <f>Formalien!$E$6</f>
      </c>
      <c r="D6" s="1131"/>
      <c r="E6" s="1131"/>
      <c r="F6" s="1131"/>
      <c r="G6" s="1131"/>
      <c r="H6" s="42"/>
    </row>
    <row r="7" spans="1:9" ht="15" x14ac:dyDescent="0.2">
      <c r="A7" s="1014" t="s">
        <v>1</v>
      </c>
      <c r="B7" s="1014"/>
      <c r="C7" s="1132">
        <f>Formalien!$E$3</f>
      </c>
      <c r="D7" s="1132"/>
      <c r="E7" s="1132"/>
      <c r="F7" s="1132"/>
      <c r="G7" s="1132"/>
      <c r="H7" s="42"/>
    </row>
    <row r="8" spans="1:9" ht="15" x14ac:dyDescent="0.2">
      <c r="B8" s="3"/>
      <c r="C8" s="1133">
        <f>Formalien!$E$5</f>
      </c>
      <c r="D8" s="1133"/>
      <c r="E8" s="1133"/>
      <c r="F8" s="3" t="s">
        <v>116</v>
      </c>
      <c r="G8" s="43">
        <f>Formalien!$E$4</f>
      </c>
      <c r="H8" s="42"/>
    </row>
    <row r="9" spans="1:9" ht="15" x14ac:dyDescent="0.2">
      <c r="A9" s="1014" t="s">
        <v>145</v>
      </c>
      <c r="B9" s="1014"/>
      <c r="C9" s="1134">
        <f>Formalien!$E$14</f>
      </c>
      <c r="D9" s="1134"/>
      <c r="E9" s="1134"/>
      <c r="F9" s="1134"/>
      <c r="G9" s="1134"/>
      <c r="H9" s="42"/>
    </row>
    <row r="10" spans="1:9" ht="15" customHeight="1" x14ac:dyDescent="0.2">
      <c r="A10" s="1" t="s">
        <v>117</v>
      </c>
      <c r="B10" s="1014" t="s">
        <v>121</v>
      </c>
      <c r="C10" s="1014"/>
      <c r="D10" s="1127">
        <f>Formalien!$E$12</f>
      </c>
      <c r="E10" s="1127"/>
      <c r="F10" s="1127"/>
      <c r="G10" s="1127"/>
      <c r="H10" s="42"/>
    </row>
    <row r="11" spans="1:9" ht="15" customHeight="1" x14ac:dyDescent="0.2">
      <c r="A11" s="1014" t="s">
        <v>121</v>
      </c>
      <c r="B11" s="1014"/>
      <c r="C11" s="1014"/>
      <c r="D11" s="1128">
        <f>Formalien!$E$13</f>
      </c>
      <c r="E11" s="1128"/>
      <c r="F11" s="1128"/>
      <c r="G11" s="1128"/>
      <c r="H11" s="42"/>
    </row>
    <row r="12" spans="1:9" ht="15" customHeight="1" x14ac:dyDescent="0.2">
      <c r="A12" s="1014" t="s">
        <v>118</v>
      </c>
      <c r="B12" s="1014"/>
      <c r="C12" s="1014"/>
      <c r="D12" s="1127">
        <f>Formalien!$E$10</f>
      </c>
      <c r="E12" s="1127"/>
      <c r="F12" s="1127"/>
      <c r="G12" s="1127"/>
      <c r="H12" s="42"/>
    </row>
    <row r="13" spans="1:9" ht="15" customHeight="1" x14ac:dyDescent="0.2">
      <c r="A13" s="1014" t="s">
        <v>139</v>
      </c>
      <c r="B13" s="1014"/>
      <c r="C13" s="1014"/>
      <c r="D13" s="1127">
        <f>Formalien!$E$9</f>
      </c>
      <c r="E13" s="1127"/>
      <c r="F13" s="1127"/>
      <c r="G13" s="1127"/>
      <c r="H13" s="42"/>
    </row>
    <row r="14" spans="1:9" ht="15" customHeight="1" x14ac:dyDescent="0.2">
      <c r="A14" s="1031" t="s">
        <v>135</v>
      </c>
      <c r="B14" s="1031"/>
      <c r="C14" s="1031"/>
      <c r="D14" s="1031"/>
      <c r="E14" s="1031"/>
      <c r="F14" s="1031"/>
      <c r="G14" s="1031"/>
      <c r="H14" s="42"/>
    </row>
    <row r="15" spans="1:9" x14ac:dyDescent="0.2">
      <c r="A15" s="1031"/>
      <c r="B15" s="1031"/>
      <c r="C15" s="1031"/>
      <c r="D15" s="1031"/>
      <c r="E15" s="1031"/>
      <c r="F15" s="1031"/>
      <c r="G15" s="1031"/>
      <c r="H15" s="42"/>
    </row>
    <row r="16" spans="1:9" x14ac:dyDescent="0.2">
      <c r="A16" s="1014">
        <f>'Deckbl UPV '!A21</f>
      </c>
      <c r="B16" s="1014"/>
      <c r="C16" s="1014"/>
      <c r="D16" s="44">
        <f>Baulichkeiten!$K$81</f>
      </c>
      <c r="E16" s="12" t="str">
        <f>'Deckbl UPV '!F21</f>
      </c>
      <c r="F16" s="45"/>
      <c r="G16" s="14"/>
      <c r="H16" s="42"/>
    </row>
    <row r="17" spans="1:8" x14ac:dyDescent="0.2">
      <c r="A17" s="1014">
        <f>'Deckbl UPV '!A22</f>
      </c>
      <c r="B17" s="1014"/>
      <c r="C17" s="1014"/>
      <c r="D17" s="55">
        <f>'Deckbl UPV '!E22</f>
      </c>
      <c r="E17" s="14"/>
      <c r="G17" s="14"/>
      <c r="H17" s="42"/>
    </row>
    <row r="18" spans="1:8" x14ac:dyDescent="0.2">
      <c r="A18" s="1014" t="e">
        <f>'Deckbl UPV '!#REF!</f>
      </c>
      <c r="B18" s="1014"/>
      <c r="C18" s="1014"/>
      <c r="D18" s="44">
        <f>'Deckbl UPV '!E23</f>
      </c>
      <c r="E18" s="14"/>
      <c r="F18" s="45"/>
      <c r="G18" s="14"/>
      <c r="H18" s="42"/>
    </row>
    <row r="19" spans="1:8" x14ac:dyDescent="0.2">
      <c r="A19" s="1014">
        <f>'Deckbl UPV '!K24</f>
      </c>
      <c r="B19" s="1014"/>
      <c r="C19" s="1014"/>
      <c r="D19" s="46">
        <f>'Deckbl UPV '!E24</f>
      </c>
      <c r="E19" s="14"/>
      <c r="F19" s="45"/>
      <c r="G19" s="14"/>
      <c r="H19" s="42"/>
    </row>
    <row r="20" spans="1:8" x14ac:dyDescent="0.2">
      <c r="A20" s="1014">
        <f>'Deckbl UPV '!K26</f>
      </c>
      <c r="B20" s="1014"/>
      <c r="C20" s="1014"/>
      <c r="D20" s="47"/>
      <c r="E20" s="14"/>
      <c r="F20" s="14"/>
      <c r="G20" s="14"/>
      <c r="H20" s="42"/>
    </row>
    <row r="21" spans="1:8" x14ac:dyDescent="0.2">
      <c r="A21" s="1014">
        <f>'Deckbl UPV '!C27</f>
      </c>
      <c r="B21" s="1014"/>
      <c r="C21" s="1014"/>
      <c r="D21" s="190">
        <f>'Deckbl UPV '!E27</f>
      </c>
      <c r="E21" s="14"/>
      <c r="F21" s="14"/>
      <c r="G21" s="14"/>
      <c r="H21" s="42"/>
    </row>
    <row r="22" spans="1:8" ht="13.5" thickBot="1" x14ac:dyDescent="0.25">
      <c r="A22" s="1014">
        <f>'Deckbl UPV '!C28</f>
      </c>
      <c r="B22" s="1014"/>
      <c r="C22" s="1014"/>
      <c r="D22" s="48">
        <f>'Deckbl UPV '!E26</f>
      </c>
      <c r="E22" s="14"/>
      <c r="F22" s="45"/>
      <c r="G22" s="14"/>
      <c r="H22" s="42"/>
    </row>
    <row r="23" spans="1:8" ht="13.5" thickTop="1" x14ac:dyDescent="0.2">
      <c r="A23" s="1013"/>
      <c r="B23" s="1013"/>
      <c r="C23" s="1013"/>
      <c r="D23" s="1013"/>
      <c r="E23" s="14"/>
      <c r="F23" s="14"/>
      <c r="G23" s="14"/>
      <c r="H23" s="42"/>
    </row>
    <row r="24" spans="1:8" ht="16.5" thickBot="1" x14ac:dyDescent="0.3">
      <c r="A24" s="1101" t="e">
        <f>'Deckbl UPV '!#REF!</f>
      </c>
      <c r="B24" s="1101"/>
      <c r="C24" s="1101"/>
      <c r="D24" s="49">
        <f>'Deckbl UPV '!E28</f>
      </c>
      <c r="F24" s="50"/>
      <c r="G24" s="14"/>
      <c r="H24" s="42"/>
    </row>
    <row r="25" spans="1:8" x14ac:dyDescent="0.2">
      <c r="A25" s="1013"/>
      <c r="B25" s="1013"/>
      <c r="C25" s="1013"/>
      <c r="D25" s="1013"/>
      <c r="E25" s="1013"/>
      <c r="F25" s="1013"/>
      <c r="G25" s="1013"/>
      <c r="H25" s="42"/>
    </row>
    <row r="26" spans="1:8" x14ac:dyDescent="0.2">
      <c r="H26" s="42"/>
    </row>
    <row r="27" spans="1:8" x14ac:dyDescent="0.2">
      <c r="H27" s="42"/>
    </row>
    <row r="28" spans="1:8" x14ac:dyDescent="0.2">
      <c r="H28" s="42"/>
    </row>
    <row r="29" spans="1:8" x14ac:dyDescent="0.2">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A44" s="1013"/>
      <c r="B44" s="1013"/>
      <c r="C44" s="1013"/>
      <c r="D44" s="1013"/>
      <c r="E44" s="1013"/>
      <c r="F44" s="1013"/>
      <c r="G44" s="1013"/>
      <c r="H44" s="42"/>
    </row>
    <row r="45" spans="1:8" x14ac:dyDescent="0.2">
      <c r="A45" s="1013"/>
      <c r="B45" s="1013"/>
      <c r="C45" s="1013"/>
      <c r="D45" s="1013"/>
      <c r="E45" s="1013"/>
      <c r="F45" s="1013"/>
      <c r="G45" s="1013"/>
      <c r="H45" s="42"/>
    </row>
    <row r="46" spans="1:8" x14ac:dyDescent="0.2">
      <c r="A46" s="1013"/>
      <c r="B46" s="1013"/>
      <c r="C46" s="1013"/>
      <c r="D46" s="1013"/>
      <c r="E46" s="1013"/>
      <c r="F46" s="1013"/>
      <c r="G46" s="1013"/>
      <c r="H46" s="42"/>
    </row>
    <row r="47" spans="1:8" x14ac:dyDescent="0.2">
      <c r="H47" s="42"/>
    </row>
    <row r="48" spans="1:8" x14ac:dyDescent="0.2">
      <c r="H48" s="42"/>
    </row>
    <row r="49" spans="1:8" x14ac:dyDescent="0.2">
      <c r="H49" s="42"/>
    </row>
    <row r="55" spans="1:8" x14ac:dyDescent="0.2">
      <c r="H55" s="42"/>
    </row>
    <row r="56" spans="1:8" x14ac:dyDescent="0.2">
      <c r="A56" s="3" t="s">
        <v>58</v>
      </c>
      <c r="B56" s="1125" t="s">
        <v>368</v>
      </c>
      <c r="C56" s="1125"/>
      <c r="D56" s="1126" t="s">
        <v>367</v>
      </c>
      <c r="E56" s="1126"/>
      <c r="F56" s="1126"/>
    </row>
  </sheetData>
  <sheetProtection selectLockedCells="1"/>
  <mergeCells count="33">
    <mergeCell ref="B10:C10"/>
    <mergeCell ref="A1:G1"/>
    <mergeCell ref="A2:G2"/>
    <mergeCell ref="A3:G4"/>
    <mergeCell ref="A5:F5"/>
    <mergeCell ref="A6:B6"/>
    <mergeCell ref="C6:G6"/>
    <mergeCell ref="A7:B7"/>
    <mergeCell ref="C7:G7"/>
    <mergeCell ref="C8:E8"/>
    <mergeCell ref="A9:B9"/>
    <mergeCell ref="C9:G9"/>
    <mergeCell ref="D10:G10"/>
    <mergeCell ref="A22:C22"/>
    <mergeCell ref="A11:C11"/>
    <mergeCell ref="A12:C12"/>
    <mergeCell ref="D12:G12"/>
    <mergeCell ref="A13:C13"/>
    <mergeCell ref="A14:G15"/>
    <mergeCell ref="A16:C16"/>
    <mergeCell ref="A17:C17"/>
    <mergeCell ref="A18:C18"/>
    <mergeCell ref="A19:C19"/>
    <mergeCell ref="A20:C20"/>
    <mergeCell ref="A21:C21"/>
    <mergeCell ref="D13:G13"/>
    <mergeCell ref="D11:G11"/>
    <mergeCell ref="A23:D23"/>
    <mergeCell ref="A24:C24"/>
    <mergeCell ref="A25:G25"/>
    <mergeCell ref="A44:G46"/>
    <mergeCell ref="B56:C56"/>
    <mergeCell ref="D56:F56"/>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6"/>
  <sheetViews>
    <sheetView showZeros="0" zoomScaleNormal="100" workbookViewId="0">
      <selection activeCell="C6" sqref="C6:G6"/>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7" ht="15.75" x14ac:dyDescent="0.25">
      <c r="A1" s="1129" t="s">
        <v>411</v>
      </c>
      <c r="B1" s="1129"/>
      <c r="C1" s="1129"/>
      <c r="D1" s="1129"/>
      <c r="E1" s="1129"/>
      <c r="F1" s="1129"/>
      <c r="G1" s="1129"/>
    </row>
    <row r="2" spans="1:7" x14ac:dyDescent="0.2">
      <c r="A2" s="1013" t="s">
        <v>416</v>
      </c>
      <c r="B2" s="1013"/>
      <c r="C2" s="1013"/>
      <c r="D2" s="1013"/>
      <c r="E2" s="1013"/>
      <c r="F2" s="1013"/>
      <c r="G2" s="1013"/>
    </row>
    <row r="3" spans="1:7" x14ac:dyDescent="0.2">
      <c r="A3" s="1130" t="s">
        <v>124</v>
      </c>
      <c r="B3" s="1130"/>
      <c r="C3" s="1130"/>
      <c r="D3" s="1130"/>
      <c r="E3" s="1130"/>
      <c r="F3" s="1130"/>
      <c r="G3" s="1130"/>
    </row>
    <row r="4" spans="1:7" ht="15.95" customHeight="1" x14ac:dyDescent="0.2">
      <c r="A4" s="1130"/>
      <c r="B4" s="1130"/>
      <c r="C4" s="1130"/>
      <c r="D4" s="1130"/>
      <c r="E4" s="1130"/>
      <c r="F4" s="1130"/>
      <c r="G4" s="1130"/>
    </row>
    <row r="5" spans="1:7" x14ac:dyDescent="0.2">
      <c r="A5" s="1013"/>
      <c r="B5" s="1013"/>
      <c r="C5" s="1013"/>
      <c r="D5" s="1013"/>
      <c r="E5" s="1013"/>
      <c r="F5" s="1013"/>
      <c r="G5" s="14"/>
    </row>
    <row r="6" spans="1:7" ht="15" customHeight="1" x14ac:dyDescent="0.2">
      <c r="A6" s="1014" t="s">
        <v>0</v>
      </c>
      <c r="B6" s="1014"/>
      <c r="C6" s="1135">
        <f>Formalien!$E$6</f>
      </c>
      <c r="D6" s="1135"/>
      <c r="E6" s="1135"/>
      <c r="F6" s="1135"/>
      <c r="G6" s="1135"/>
    </row>
    <row r="7" spans="1:7" ht="15" x14ac:dyDescent="0.2">
      <c r="A7" s="1014" t="s">
        <v>1</v>
      </c>
      <c r="B7" s="1014"/>
      <c r="C7" s="1136">
        <f>Formalien!$E$3</f>
      </c>
      <c r="D7" s="1136"/>
      <c r="E7" s="1136"/>
      <c r="F7" s="1136"/>
      <c r="G7" s="1136"/>
    </row>
    <row r="8" spans="1:7" ht="15" x14ac:dyDescent="0.2">
      <c r="B8" s="3"/>
      <c r="C8" s="1133">
        <f>Formalien!$E$5</f>
      </c>
      <c r="D8" s="1133"/>
      <c r="E8" s="1133"/>
      <c r="F8" s="3" t="s">
        <v>116</v>
      </c>
      <c r="G8" s="43">
        <f>Formalien!$E$4</f>
      </c>
    </row>
    <row r="9" spans="1:7" ht="15" x14ac:dyDescent="0.2">
      <c r="A9" s="1014" t="s">
        <v>145</v>
      </c>
      <c r="B9" s="1014"/>
      <c r="C9" s="1134">
        <f>Formalien!$E$14</f>
      </c>
      <c r="D9" s="1134"/>
      <c r="E9" s="1134"/>
      <c r="F9" s="1134"/>
      <c r="G9" s="1134"/>
    </row>
    <row r="10" spans="1:7" ht="15" customHeight="1" x14ac:dyDescent="0.2">
      <c r="A10" s="1" t="s">
        <v>117</v>
      </c>
      <c r="B10" s="1014" t="s">
        <v>121</v>
      </c>
      <c r="C10" s="1014"/>
      <c r="D10" s="1127">
        <f>Formalien!$E$12</f>
      </c>
      <c r="E10" s="1127"/>
      <c r="F10" s="1127"/>
      <c r="G10" s="1127"/>
    </row>
    <row r="11" spans="1:7" ht="15" customHeight="1" x14ac:dyDescent="0.2">
      <c r="A11" s="1014" t="s">
        <v>121</v>
      </c>
      <c r="B11" s="1014"/>
      <c r="C11" s="1014"/>
      <c r="D11" s="1128">
        <f>Formalien!$E$13</f>
      </c>
      <c r="E11" s="1128"/>
      <c r="F11" s="1128"/>
      <c r="G11" s="1128"/>
    </row>
    <row r="12" spans="1:7" ht="15" customHeight="1" x14ac:dyDescent="0.2">
      <c r="A12" s="1014" t="s">
        <v>118</v>
      </c>
      <c r="B12" s="1014"/>
      <c r="C12" s="1014"/>
      <c r="D12" s="1127">
        <f>Formalien!$E$10</f>
      </c>
      <c r="E12" s="1127"/>
      <c r="F12" s="1127"/>
      <c r="G12" s="1127"/>
    </row>
    <row r="13" spans="1:7" ht="15" customHeight="1" x14ac:dyDescent="0.2">
      <c r="A13" s="1014" t="s">
        <v>139</v>
      </c>
      <c r="B13" s="1014"/>
      <c r="C13" s="1014"/>
      <c r="D13" s="1127">
        <f>Formalien!$E$9</f>
      </c>
      <c r="E13" s="1127"/>
      <c r="F13" s="1127"/>
      <c r="G13" s="1127"/>
    </row>
    <row r="14" spans="1:7" ht="15" customHeight="1" x14ac:dyDescent="0.2">
      <c r="A14" s="1031" t="s">
        <v>135</v>
      </c>
      <c r="B14" s="1031"/>
      <c r="C14" s="1031"/>
      <c r="D14" s="1031"/>
      <c r="E14" s="1031"/>
      <c r="F14" s="1031"/>
      <c r="G14" s="1031"/>
    </row>
    <row r="15" spans="1:7" x14ac:dyDescent="0.2">
      <c r="A15" s="1031"/>
      <c r="B15" s="1031"/>
      <c r="C15" s="1031"/>
      <c r="D15" s="1031"/>
      <c r="E15" s="1031"/>
      <c r="F15" s="1031"/>
      <c r="G15" s="1031"/>
    </row>
    <row r="16" spans="1:7" x14ac:dyDescent="0.2">
      <c r="A16" s="1014">
        <f>'Deckbl UPV '!A21</f>
      </c>
      <c r="B16" s="1014"/>
      <c r="C16" s="1014"/>
      <c r="D16" s="44">
        <f>'Deckbl UPV '!E21</f>
      </c>
      <c r="E16" s="12" t="str">
        <f>'Deckbl UPV '!F21</f>
      </c>
      <c r="F16" s="45"/>
      <c r="G16" s="14"/>
    </row>
    <row r="17" spans="1:7" x14ac:dyDescent="0.2">
      <c r="A17" s="1014">
        <f>'Deckbl UPV '!A22</f>
      </c>
      <c r="B17" s="1014"/>
      <c r="C17" s="1014"/>
      <c r="D17" s="55">
        <f>'Deckbl UPV '!E22</f>
      </c>
      <c r="E17" s="14"/>
      <c r="G17" s="14"/>
    </row>
    <row r="18" spans="1:7" x14ac:dyDescent="0.2">
      <c r="A18" s="1014" t="s">
        <v>340</v>
      </c>
      <c r="B18" s="1014"/>
      <c r="C18" s="1014"/>
      <c r="D18" s="44">
        <f>'Deckbl UPV '!E23</f>
      </c>
      <c r="E18" s="14"/>
      <c r="F18" s="45"/>
      <c r="G18" s="14"/>
    </row>
    <row r="19" spans="1:7" x14ac:dyDescent="0.2">
      <c r="C19" s="3">
        <f>'Deckbl UPV '!K24</f>
      </c>
      <c r="D19" s="46">
        <f>'Deckbl UPV '!E24</f>
      </c>
      <c r="E19" s="14"/>
      <c r="F19" s="45"/>
      <c r="G19" s="14"/>
    </row>
    <row r="20" spans="1:7" x14ac:dyDescent="0.2">
      <c r="C20" s="3">
        <f>'Deckbl UPV '!K26</f>
      </c>
      <c r="D20" s="47"/>
      <c r="E20" s="14"/>
      <c r="F20" s="14"/>
      <c r="G20" s="14"/>
    </row>
    <row r="21" spans="1:7" x14ac:dyDescent="0.2">
      <c r="C21" s="3">
        <f>'Deckbl UPV '!C27</f>
      </c>
      <c r="D21" s="47"/>
      <c r="E21" s="14"/>
      <c r="F21" s="14"/>
      <c r="G21" s="14"/>
    </row>
    <row r="22" spans="1:7" ht="13.5" thickBot="1" x14ac:dyDescent="0.25">
      <c r="C22" s="3">
        <f>'Deckbl UPV '!C28</f>
      </c>
      <c r="D22" s="48">
        <f>'Deckbl UPV '!E26</f>
      </c>
      <c r="E22" s="14"/>
      <c r="F22" s="45"/>
      <c r="G22" s="14"/>
    </row>
    <row r="23" spans="1:7" ht="13.5" thickTop="1" x14ac:dyDescent="0.2">
      <c r="E23" s="14"/>
      <c r="F23" s="14"/>
      <c r="G23" s="14"/>
    </row>
    <row r="24" spans="1:7" ht="16.5" thickBot="1" x14ac:dyDescent="0.3">
      <c r="A24" s="8"/>
      <c r="B24" s="8"/>
      <c r="C24" s="51" t="e">
        <f>'Deckbl UPV '!#REF!</f>
      </c>
      <c r="D24" s="49">
        <f>'Deckbl UPV '!E28</f>
      </c>
      <c r="F24" s="50"/>
      <c r="G24" s="14"/>
    </row>
    <row r="25" spans="1:7" x14ac:dyDescent="0.2">
      <c r="A25" s="1013"/>
      <c r="B25" s="1013"/>
      <c r="C25" s="1013"/>
      <c r="D25" s="1013"/>
      <c r="E25" s="1013"/>
      <c r="F25" s="1013"/>
      <c r="G25" s="1013"/>
    </row>
    <row r="44" spans="1:7" x14ac:dyDescent="0.2">
      <c r="A44" s="1013"/>
      <c r="B44" s="1013"/>
      <c r="C44" s="1013"/>
      <c r="D44" s="1013"/>
      <c r="E44" s="1013"/>
      <c r="F44" s="1013"/>
      <c r="G44" s="1013"/>
    </row>
    <row r="45" spans="1:7" x14ac:dyDescent="0.2">
      <c r="A45" s="1013"/>
      <c r="B45" s="1013"/>
      <c r="C45" s="1013"/>
      <c r="D45" s="1013"/>
      <c r="E45" s="1013"/>
      <c r="F45" s="1013"/>
      <c r="G45" s="1013"/>
    </row>
    <row r="46" spans="1:7" x14ac:dyDescent="0.2">
      <c r="A46" s="1013"/>
      <c r="B46" s="1013"/>
      <c r="C46" s="1013"/>
      <c r="D46" s="1013"/>
      <c r="E46" s="1013"/>
      <c r="F46" s="1013"/>
      <c r="G46" s="1013"/>
    </row>
    <row r="56" spans="1:6" x14ac:dyDescent="0.2">
      <c r="A56" s="3" t="s">
        <v>58</v>
      </c>
      <c r="B56" s="1125" t="s">
        <v>368</v>
      </c>
      <c r="C56" s="1125"/>
      <c r="D56" s="1126" t="s">
        <v>367</v>
      </c>
      <c r="E56" s="1126"/>
      <c r="F56" s="1126"/>
    </row>
  </sheetData>
  <sheetProtection selectLockedCells="1"/>
  <mergeCells count="27">
    <mergeCell ref="B10:C10"/>
    <mergeCell ref="A1:G1"/>
    <mergeCell ref="A2:G2"/>
    <mergeCell ref="A3:G4"/>
    <mergeCell ref="A5:F5"/>
    <mergeCell ref="A6:B6"/>
    <mergeCell ref="C6:G6"/>
    <mergeCell ref="A7:B7"/>
    <mergeCell ref="C7:G7"/>
    <mergeCell ref="C8:E8"/>
    <mergeCell ref="A9:B9"/>
    <mergeCell ref="C9:G9"/>
    <mergeCell ref="D10:G10"/>
    <mergeCell ref="A25:G25"/>
    <mergeCell ref="A44:G46"/>
    <mergeCell ref="B56:C56"/>
    <mergeCell ref="D56:F56"/>
    <mergeCell ref="A11:C11"/>
    <mergeCell ref="A12:C12"/>
    <mergeCell ref="D12:G12"/>
    <mergeCell ref="A13:C13"/>
    <mergeCell ref="A14:G15"/>
    <mergeCell ref="A16:C16"/>
    <mergeCell ref="A17:C17"/>
    <mergeCell ref="A18:C18"/>
    <mergeCell ref="D11:G11"/>
    <mergeCell ref="D13:G13"/>
  </mergeCells>
  <pageMargins left="0.78740157480314965" right="0.19685039370078741" top="0.78740157480314965" bottom="0.19685039370078741" header="0.51181102362204722" footer="0.51181102362204722"/>
  <pageSetup paperSize="9" scale="95" orientation="portrait" horizontalDpi="300" verticalDpi="3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9"/>
  <sheetViews>
    <sheetView showZeros="0" view="pageLayout" zoomScaleNormal="100" workbookViewId="0">
      <selection activeCell="J10" sqref="J10"/>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7"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412</v>
      </c>
      <c r="B2" s="1013"/>
      <c r="C2" s="1013"/>
      <c r="D2" s="1013"/>
      <c r="E2" s="1013"/>
      <c r="F2" s="1013"/>
      <c r="G2" s="1013"/>
      <c r="H2" s="42"/>
    </row>
    <row r="3" spans="1:9" x14ac:dyDescent="0.2">
      <c r="A3" s="1130" t="s">
        <v>146</v>
      </c>
      <c r="B3" s="1130"/>
      <c r="C3" s="1130"/>
      <c r="D3" s="1130"/>
      <c r="E3" s="1130"/>
      <c r="F3" s="1130"/>
      <c r="G3" s="1130"/>
      <c r="H3" s="42"/>
      <c r="I3" s="42"/>
    </row>
    <row r="4" spans="1:9" ht="15.95" customHeight="1" x14ac:dyDescent="0.2">
      <c r="A4" s="1130"/>
      <c r="B4" s="1130"/>
      <c r="C4" s="1130"/>
      <c r="D4" s="1130"/>
      <c r="E4" s="1130"/>
      <c r="F4" s="1130"/>
      <c r="G4" s="1130"/>
      <c r="H4" s="42"/>
    </row>
    <row r="5" spans="1:9" ht="15.95" customHeight="1" x14ac:dyDescent="0.25">
      <c r="A5" s="52"/>
      <c r="B5" s="52"/>
      <c r="C5" s="52"/>
      <c r="D5" s="52"/>
      <c r="E5" s="52"/>
      <c r="F5" s="52"/>
      <c r="G5" s="52"/>
      <c r="H5" s="42"/>
    </row>
    <row r="6" spans="1:9" ht="14.45" customHeight="1" x14ac:dyDescent="0.2">
      <c r="B6" s="3" t="s">
        <v>147</v>
      </c>
      <c r="C6" s="1094">
        <f>Formalien!$E$7</f>
      </c>
      <c r="D6" s="1138"/>
      <c r="E6" s="1138"/>
      <c r="F6" s="1138"/>
      <c r="G6" s="1138"/>
      <c r="H6" s="42"/>
    </row>
    <row r="7" spans="1:9" ht="14.45" customHeight="1" x14ac:dyDescent="0.2">
      <c r="A7" s="1014" t="s">
        <v>149</v>
      </c>
      <c r="B7" s="1014"/>
      <c r="C7" s="1127">
        <f>Formalien!$E$8</f>
      </c>
      <c r="D7" s="1127"/>
      <c r="E7" s="1127"/>
      <c r="F7" s="1127"/>
      <c r="G7" s="1127"/>
      <c r="H7" s="42"/>
    </row>
    <row r="8" spans="1:9" ht="15" customHeight="1" x14ac:dyDescent="0.2">
      <c r="A8" s="1014" t="s">
        <v>0</v>
      </c>
      <c r="B8" s="1014"/>
      <c r="C8" s="1135">
        <f>Formalien!$E$6</f>
      </c>
      <c r="D8" s="1135"/>
      <c r="E8" s="1135"/>
      <c r="F8" s="1135"/>
      <c r="G8" s="1135"/>
      <c r="H8" s="42"/>
    </row>
    <row r="9" spans="1:9" ht="15" x14ac:dyDescent="0.2">
      <c r="A9" s="1014" t="s">
        <v>1</v>
      </c>
      <c r="B9" s="1014"/>
      <c r="C9" s="1136">
        <f>Formalien!$E$3</f>
      </c>
      <c r="D9" s="1136"/>
      <c r="E9" s="1136"/>
      <c r="F9" s="1136"/>
      <c r="G9" s="1139"/>
      <c r="H9" s="42"/>
    </row>
    <row r="10" spans="1:9" ht="15" x14ac:dyDescent="0.2">
      <c r="B10" s="3"/>
      <c r="C10" s="1133">
        <f>Formalien!$E$5</f>
      </c>
      <c r="D10" s="1133"/>
      <c r="E10" s="1133"/>
      <c r="F10" s="3" t="s">
        <v>116</v>
      </c>
      <c r="G10" s="70">
        <f>Formalien!$E$4</f>
      </c>
      <c r="H10" s="42"/>
    </row>
    <row r="11" spans="1:9" ht="15" x14ac:dyDescent="0.2">
      <c r="A11" s="1014" t="s">
        <v>145</v>
      </c>
      <c r="B11" s="1014"/>
      <c r="C11" s="1134">
        <f>Formalien!$E$14</f>
      </c>
      <c r="D11" s="1134"/>
      <c r="E11" s="1134"/>
      <c r="F11" s="1134"/>
      <c r="G11" s="1140"/>
      <c r="H11" s="42"/>
    </row>
    <row r="12" spans="1:9" ht="15" customHeight="1" x14ac:dyDescent="0.2">
      <c r="A12" s="1" t="s">
        <v>117</v>
      </c>
      <c r="B12" s="1014" t="s">
        <v>121</v>
      </c>
      <c r="C12" s="1014"/>
      <c r="D12" s="1127">
        <f>Formalien!$E$12</f>
      </c>
      <c r="E12" s="1127"/>
      <c r="F12" s="1127"/>
      <c r="G12" s="1127"/>
      <c r="H12" s="42"/>
    </row>
    <row r="13" spans="1:9" ht="15" customHeight="1" x14ac:dyDescent="0.2">
      <c r="A13" s="1014" t="s">
        <v>121</v>
      </c>
      <c r="B13" s="1014"/>
      <c r="C13" s="1014"/>
      <c r="D13" s="1127">
        <f>Formalien!$E$13</f>
      </c>
      <c r="E13" s="1127"/>
      <c r="F13" s="1127"/>
      <c r="G13" s="1127"/>
      <c r="H13" s="42"/>
    </row>
    <row r="14" spans="1:9" ht="15" customHeight="1" x14ac:dyDescent="0.2">
      <c r="A14" s="1014" t="s">
        <v>118</v>
      </c>
      <c r="B14" s="1014"/>
      <c r="C14" s="1014"/>
      <c r="D14" s="1127">
        <f>Formalien!$E$10</f>
      </c>
      <c r="E14" s="1127"/>
      <c r="F14" s="1127"/>
      <c r="G14" s="1127"/>
      <c r="H14" s="42"/>
    </row>
    <row r="15" spans="1:9" ht="15" customHeight="1" x14ac:dyDescent="0.2">
      <c r="A15" s="3"/>
      <c r="B15" s="3"/>
      <c r="C15" s="3" t="s">
        <v>150</v>
      </c>
      <c r="D15" s="1127">
        <f>Formalien!$E$11</f>
      </c>
      <c r="E15" s="1127"/>
      <c r="F15" s="1127"/>
      <c r="G15" s="1127"/>
      <c r="H15" s="42"/>
    </row>
    <row r="16" spans="1:9" ht="15" customHeight="1" x14ac:dyDescent="0.2">
      <c r="A16" s="1014" t="s">
        <v>139</v>
      </c>
      <c r="B16" s="1014"/>
      <c r="C16" s="1014"/>
      <c r="D16" s="1137">
        <f>Formalien!$E$9</f>
      </c>
      <c r="E16" s="1137"/>
      <c r="F16" s="1137"/>
      <c r="G16" s="1137"/>
      <c r="H16" s="42"/>
    </row>
    <row r="17" spans="1:8" ht="15" customHeight="1" x14ac:dyDescent="0.2">
      <c r="A17" s="1031" t="s">
        <v>135</v>
      </c>
      <c r="B17" s="1031"/>
      <c r="C17" s="1031"/>
      <c r="D17" s="1031"/>
      <c r="E17" s="1031"/>
      <c r="F17" s="1031"/>
      <c r="G17" s="1031"/>
      <c r="H17" s="42"/>
    </row>
    <row r="18" spans="1:8" x14ac:dyDescent="0.2">
      <c r="A18" s="1031"/>
      <c r="B18" s="1031"/>
      <c r="C18" s="1031"/>
      <c r="D18" s="1031"/>
      <c r="E18" s="1031"/>
      <c r="F18" s="1031"/>
      <c r="G18" s="1031"/>
      <c r="H18" s="42"/>
    </row>
    <row r="19" spans="1:8" x14ac:dyDescent="0.2">
      <c r="A19" s="1014">
        <f>'Deckbl UPV '!A21</f>
      </c>
      <c r="B19" s="1014"/>
      <c r="C19" s="1014"/>
      <c r="D19" s="44">
        <f>'Deckbl UPV '!E21</f>
      </c>
      <c r="E19" s="12" t="s">
        <v>119</v>
      </c>
      <c r="F19" s="45"/>
      <c r="G19" s="14"/>
      <c r="H19" s="42"/>
    </row>
    <row r="20" spans="1:8" x14ac:dyDescent="0.2">
      <c r="A20" s="1014">
        <f>'Deckbl UPV '!A22</f>
      </c>
      <c r="B20" s="1014"/>
      <c r="C20" s="1014"/>
      <c r="D20" s="44">
        <f>'Deckbl UPV '!E22</f>
      </c>
      <c r="E20" s="14"/>
      <c r="G20" s="14"/>
      <c r="H20" s="42"/>
    </row>
    <row r="21" spans="1:8" ht="13.5" thickBot="1" x14ac:dyDescent="0.25">
      <c r="A21" s="1014" t="e">
        <f>'Deckbl UPV '!#REF!</f>
      </c>
      <c r="B21" s="1014"/>
      <c r="C21" s="1014"/>
      <c r="D21" s="191">
        <f>'Deckbl UPV '!E23</f>
      </c>
      <c r="E21" s="14"/>
      <c r="F21" s="45"/>
      <c r="G21" s="14"/>
      <c r="H21" s="42"/>
    </row>
    <row r="22" spans="1:8" x14ac:dyDescent="0.2">
      <c r="A22" s="1014">
        <f>'Deckbl UPV '!K24</f>
      </c>
      <c r="B22" s="1014"/>
      <c r="C22" s="1014"/>
      <c r="D22" s="53">
        <f>'Deckbl UPV '!E24</f>
      </c>
      <c r="E22" s="14"/>
      <c r="F22" s="45"/>
      <c r="G22" s="14"/>
      <c r="H22" s="42"/>
    </row>
    <row r="23" spans="1:8" x14ac:dyDescent="0.2">
      <c r="A23" s="1014">
        <f>'Deckbl UPV '!K26</f>
      </c>
      <c r="B23" s="1014"/>
      <c r="C23" s="1014"/>
      <c r="D23" s="47"/>
      <c r="E23" s="14"/>
      <c r="F23" s="14"/>
      <c r="G23" s="14"/>
      <c r="H23" s="42"/>
    </row>
    <row r="24" spans="1:8" x14ac:dyDescent="0.2">
      <c r="A24" s="1014">
        <f>'Deckbl UPV '!C27</f>
      </c>
      <c r="B24" s="1014"/>
      <c r="C24" s="1014"/>
      <c r="D24" s="47"/>
      <c r="E24" s="14"/>
      <c r="F24" s="14"/>
      <c r="G24" s="14"/>
      <c r="H24" s="42"/>
    </row>
    <row r="25" spans="1:8" ht="13.5" thickBot="1" x14ac:dyDescent="0.25">
      <c r="A25" s="1014">
        <f>'Deckbl UPV '!C28</f>
      </c>
      <c r="B25" s="1014"/>
      <c r="C25" s="1014"/>
      <c r="D25" s="54">
        <f>'Deckbl UPV '!E26</f>
      </c>
      <c r="E25" s="14"/>
      <c r="F25" s="45"/>
      <c r="G25" s="14"/>
      <c r="H25" s="42"/>
    </row>
    <row r="26" spans="1:8" ht="13.5" thickBot="1" x14ac:dyDescent="0.25">
      <c r="A26" s="14"/>
      <c r="B26" s="14"/>
      <c r="C26" s="51" t="e">
        <f>'Deckbl UPV '!#REF!</f>
      </c>
      <c r="D26" s="192">
        <f>'Deckbl UPV '!E28</f>
      </c>
      <c r="E26" s="14"/>
      <c r="F26" s="14"/>
      <c r="G26" s="14"/>
      <c r="H26" s="42"/>
    </row>
    <row r="27" spans="1:8" ht="15.75" x14ac:dyDescent="0.25">
      <c r="B27" s="8"/>
      <c r="C27" s="8"/>
      <c r="D27" s="156"/>
      <c r="F27" s="50"/>
      <c r="G27" s="14"/>
      <c r="H27" s="42"/>
    </row>
    <row r="28" spans="1:8" ht="15.75" x14ac:dyDescent="0.25">
      <c r="A28" s="51"/>
      <c r="B28" s="51"/>
      <c r="C28" s="51"/>
      <c r="D28" s="156"/>
      <c r="F28" s="50"/>
      <c r="G28" s="14"/>
      <c r="H28" s="42"/>
    </row>
    <row r="29" spans="1:8" x14ac:dyDescent="0.2">
      <c r="A29" s="1013"/>
      <c r="B29" s="1013"/>
      <c r="C29" s="1013"/>
      <c r="D29" s="1013"/>
      <c r="E29" s="1013"/>
      <c r="F29" s="1013"/>
      <c r="G29" s="1013"/>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H44" s="42"/>
    </row>
    <row r="45" spans="1:8" x14ac:dyDescent="0.2">
      <c r="H45" s="42"/>
    </row>
    <row r="46" spans="1:8" x14ac:dyDescent="0.2">
      <c r="H46" s="42"/>
    </row>
    <row r="47" spans="1:8" x14ac:dyDescent="0.2">
      <c r="H47" s="42"/>
    </row>
    <row r="48" spans="1:8" x14ac:dyDescent="0.2">
      <c r="A48" s="1013"/>
      <c r="B48" s="1013"/>
      <c r="C48" s="1013"/>
      <c r="D48" s="1013"/>
      <c r="E48" s="1013"/>
      <c r="F48" s="1013"/>
      <c r="G48" s="1013"/>
      <c r="H48" s="42"/>
    </row>
    <row r="49" spans="1:8" x14ac:dyDescent="0.2">
      <c r="A49" s="1013"/>
      <c r="B49" s="1013"/>
      <c r="C49" s="1013"/>
      <c r="D49" s="1013"/>
      <c r="E49" s="1013"/>
      <c r="F49" s="1013"/>
      <c r="G49" s="1013"/>
      <c r="H49" s="42"/>
    </row>
    <row r="50" spans="1:8" x14ac:dyDescent="0.2">
      <c r="A50" s="1013"/>
      <c r="B50" s="1013"/>
      <c r="C50" s="1013"/>
      <c r="D50" s="1013"/>
      <c r="E50" s="1013"/>
      <c r="F50" s="1013"/>
      <c r="G50" s="1013"/>
      <c r="H50" s="42"/>
    </row>
    <row r="51" spans="1:8" x14ac:dyDescent="0.2">
      <c r="H51" s="42"/>
    </row>
    <row r="52" spans="1:8" x14ac:dyDescent="0.2">
      <c r="H52" s="42"/>
    </row>
    <row r="53" spans="1:8" x14ac:dyDescent="0.2">
      <c r="H53" s="42"/>
    </row>
    <row r="54" spans="1:8" x14ac:dyDescent="0.2">
      <c r="A54" s="3" t="s">
        <v>58</v>
      </c>
      <c r="B54" s="1125" t="s">
        <v>368</v>
      </c>
      <c r="C54" s="1125"/>
      <c r="D54" s="1126" t="s">
        <v>367</v>
      </c>
      <c r="E54" s="1126"/>
      <c r="F54" s="1126"/>
    </row>
    <row r="59" spans="1:8" x14ac:dyDescent="0.2">
      <c r="H59" s="42"/>
    </row>
  </sheetData>
  <sheetProtection selectLockedCells="1"/>
  <mergeCells count="34">
    <mergeCell ref="A9:B9"/>
    <mergeCell ref="C9:G9"/>
    <mergeCell ref="C10:E10"/>
    <mergeCell ref="A11:B11"/>
    <mergeCell ref="C11:G11"/>
    <mergeCell ref="A1:G1"/>
    <mergeCell ref="A2:G2"/>
    <mergeCell ref="A3:G4"/>
    <mergeCell ref="A8:B8"/>
    <mergeCell ref="C8:G8"/>
    <mergeCell ref="A7:B7"/>
    <mergeCell ref="C6:G6"/>
    <mergeCell ref="C7:G7"/>
    <mergeCell ref="A29:G29"/>
    <mergeCell ref="A48:G50"/>
    <mergeCell ref="B54:C54"/>
    <mergeCell ref="D54:F54"/>
    <mergeCell ref="B12:C12"/>
    <mergeCell ref="D12:G12"/>
    <mergeCell ref="A25:C25"/>
    <mergeCell ref="A13:C13"/>
    <mergeCell ref="A14:C14"/>
    <mergeCell ref="D14:G14"/>
    <mergeCell ref="A16:C16"/>
    <mergeCell ref="A20:C20"/>
    <mergeCell ref="A21:C21"/>
    <mergeCell ref="A22:C22"/>
    <mergeCell ref="A23:C23"/>
    <mergeCell ref="A24:C24"/>
    <mergeCell ref="A17:G18"/>
    <mergeCell ref="A19:C19"/>
    <mergeCell ref="D15:G15"/>
    <mergeCell ref="D16:G16"/>
    <mergeCell ref="D13:G13"/>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68C6-D5D5-40D6-A216-E744A52016C8}">
  <sheetPr>
    <pageSetUpPr fitToPage="1"/>
  </sheetPr>
  <dimension ref="A1:H51"/>
  <sheetViews>
    <sheetView zoomScaleNormal="100" workbookViewId="0">
      <selection activeCell="G12" sqref="G12"/>
    </sheetView>
  </sheetViews>
  <sheetFormatPr baseColWidth="10" defaultRowHeight="15" x14ac:dyDescent="0.25"/>
  <cols>
    <col min="4" max="4" width="11.85546875" customWidth="1"/>
    <col min="6" max="6" width="12.85546875" customWidth="1"/>
    <col min="7" max="7" width="13.28515625" customWidth="1"/>
    <col min="8" max="8" width="11.140625" customWidth="1"/>
  </cols>
  <sheetData>
    <row r="1" spans="1:8" ht="20.25" x14ac:dyDescent="0.3">
      <c r="A1" s="208"/>
      <c r="B1" s="208"/>
      <c r="C1" s="228" t="s">
        <v>387</v>
      </c>
      <c r="D1" s="229"/>
      <c r="E1" s="229"/>
      <c r="F1" s="229"/>
      <c r="G1" s="189" t="s">
        <v>392</v>
      </c>
      <c r="H1" s="226"/>
    </row>
    <row r="2" spans="1:8" ht="15.75" x14ac:dyDescent="0.25">
      <c r="A2" s="208"/>
      <c r="B2" s="208"/>
      <c r="C2" s="208"/>
      <c r="D2" s="208"/>
      <c r="E2" s="208"/>
      <c r="F2" s="208"/>
      <c r="G2" s="208"/>
      <c r="H2" s="208"/>
    </row>
    <row r="3" spans="1:8" ht="15.75" x14ac:dyDescent="0.25">
      <c r="A3" s="208"/>
      <c r="B3" s="94" t="s">
        <v>383</v>
      </c>
      <c r="C3" s="227"/>
      <c r="D3" s="95" t="s">
        <v>388</v>
      </c>
      <c r="E3" s="208"/>
      <c r="F3" s="208"/>
      <c r="G3" s="1150" t="s">
        <v>393</v>
      </c>
      <c r="H3" s="1151"/>
    </row>
    <row r="4" spans="1:8" ht="15.75" x14ac:dyDescent="0.25">
      <c r="A4" s="208"/>
      <c r="B4" s="206"/>
      <c r="C4" s="207"/>
      <c r="D4" s="206"/>
      <c r="E4" s="208"/>
      <c r="F4" s="213"/>
      <c r="G4" s="213"/>
      <c r="H4" s="211"/>
    </row>
    <row r="5" spans="1:8" ht="15.75" x14ac:dyDescent="0.25">
      <c r="A5" s="230"/>
      <c r="B5" s="231"/>
      <c r="C5" s="215"/>
      <c r="D5" s="231"/>
      <c r="E5" s="215"/>
      <c r="F5" s="232"/>
      <c r="G5" s="231"/>
      <c r="H5" s="208"/>
    </row>
    <row r="6" spans="1:8" ht="15.75" x14ac:dyDescent="0.25">
      <c r="A6" s="208"/>
      <c r="B6" s="1152">
        <v>0</v>
      </c>
      <c r="C6" s="797"/>
      <c r="D6" s="1152">
        <v>0</v>
      </c>
      <c r="E6" s="806"/>
      <c r="F6" s="806"/>
      <c r="G6" s="1152">
        <v>0</v>
      </c>
      <c r="H6" s="797"/>
    </row>
    <row r="7" spans="1:8" ht="15.75" x14ac:dyDescent="0.25">
      <c r="A7" s="211"/>
      <c r="B7" s="233"/>
      <c r="C7" s="234"/>
      <c r="D7" s="233"/>
      <c r="E7" s="127"/>
      <c r="F7" s="127"/>
      <c r="G7" s="233"/>
      <c r="H7" s="234"/>
    </row>
    <row r="8" spans="1:8" ht="15.75" x14ac:dyDescent="0.25">
      <c r="A8" s="211"/>
      <c r="B8" s="210"/>
      <c r="C8" s="210"/>
      <c r="D8" s="209"/>
      <c r="E8" s="208"/>
      <c r="F8" s="213"/>
      <c r="G8" s="213"/>
      <c r="H8" s="211"/>
    </row>
    <row r="9" spans="1:8" ht="15.75" x14ac:dyDescent="0.25">
      <c r="A9" s="235"/>
      <c r="B9" s="208"/>
      <c r="C9" s="208"/>
      <c r="D9" s="208"/>
      <c r="E9" s="1153" t="s">
        <v>390</v>
      </c>
      <c r="F9" s="1154"/>
      <c r="G9" s="220" t="s">
        <v>394</v>
      </c>
      <c r="H9" s="222" t="s">
        <v>62</v>
      </c>
    </row>
    <row r="10" spans="1:8" ht="15.75" x14ac:dyDescent="0.25">
      <c r="A10" s="236"/>
      <c r="B10" s="211"/>
      <c r="C10" s="211"/>
      <c r="D10" s="211"/>
      <c r="E10" s="1148" t="s">
        <v>391</v>
      </c>
      <c r="F10" s="1149"/>
      <c r="G10" s="223" t="s">
        <v>375</v>
      </c>
      <c r="H10" s="223" t="s">
        <v>375</v>
      </c>
    </row>
    <row r="11" spans="1:8" ht="15.75" x14ac:dyDescent="0.25">
      <c r="A11" s="224"/>
      <c r="B11" s="237" t="s">
        <v>384</v>
      </c>
      <c r="C11" s="208"/>
      <c r="D11" s="208"/>
      <c r="E11" s="238"/>
      <c r="F11" s="239"/>
      <c r="G11" s="208"/>
      <c r="H11" s="322"/>
    </row>
    <row r="12" spans="1:8" ht="15.75" x14ac:dyDescent="0.25">
      <c r="A12" s="224"/>
      <c r="B12" s="208"/>
      <c r="C12" s="208"/>
      <c r="D12" s="225"/>
      <c r="E12" s="240"/>
      <c r="F12" s="241"/>
      <c r="G12" s="242"/>
      <c r="H12" s="320">
        <f>SUM(E12*G12)</f>
        <v>0</v>
      </c>
    </row>
    <row r="13" spans="1:8" ht="15.75" x14ac:dyDescent="0.25">
      <c r="A13" s="224"/>
      <c r="B13" s="208"/>
      <c r="D13" s="225"/>
      <c r="E13" s="240"/>
      <c r="F13" s="241"/>
      <c r="G13" s="243"/>
      <c r="H13" s="320">
        <f>SUM(E13*G13)</f>
        <v>0</v>
      </c>
    </row>
    <row r="14" spans="1:8" ht="15.75" x14ac:dyDescent="0.25">
      <c r="A14" s="224"/>
      <c r="B14" s="208"/>
      <c r="C14" s="208"/>
      <c r="D14" s="225"/>
      <c r="E14" s="240"/>
      <c r="F14" s="244"/>
      <c r="G14" s="243"/>
      <c r="H14" s="320">
        <f>SUM(E14*G14)</f>
        <v>0</v>
      </c>
    </row>
    <row r="15" spans="1:8" ht="15.75" x14ac:dyDescent="0.25">
      <c r="A15" s="224"/>
      <c r="B15" s="208"/>
      <c r="C15" s="208"/>
      <c r="D15" s="225"/>
      <c r="E15" s="240"/>
      <c r="F15" s="244"/>
      <c r="G15" s="243"/>
      <c r="H15" s="320">
        <f>SUM(E15*G15)</f>
        <v>0</v>
      </c>
    </row>
    <row r="16" spans="1:8" ht="15.75" x14ac:dyDescent="0.25">
      <c r="A16" s="236"/>
      <c r="B16" s="211"/>
      <c r="C16" s="127"/>
      <c r="D16" s="245"/>
      <c r="E16" s="240"/>
      <c r="F16" s="244"/>
      <c r="G16" s="243"/>
      <c r="H16" s="320">
        <f>SUM(E16*G16)</f>
        <v>0</v>
      </c>
    </row>
    <row r="17" spans="1:8" ht="16.5" thickBot="1" x14ac:dyDescent="0.3">
      <c r="A17" s="224"/>
      <c r="B17" s="208"/>
      <c r="C17" s="208"/>
      <c r="D17" s="188" t="s">
        <v>389</v>
      </c>
      <c r="E17" s="208"/>
      <c r="F17" s="208"/>
      <c r="G17" s="208"/>
      <c r="H17" s="321">
        <f>SUM(H12:H16)</f>
        <v>0</v>
      </c>
    </row>
    <row r="18" spans="1:8" ht="16.5" thickTop="1" x14ac:dyDescent="0.25">
      <c r="A18" s="236"/>
      <c r="B18" s="211"/>
      <c r="C18" s="211"/>
      <c r="D18" s="211"/>
      <c r="E18" s="211"/>
      <c r="F18" s="211"/>
      <c r="G18" s="211"/>
      <c r="H18" s="323"/>
    </row>
    <row r="19" spans="1:8" ht="15.75" x14ac:dyDescent="0.25">
      <c r="A19" s="235"/>
      <c r="B19" s="237" t="s">
        <v>385</v>
      </c>
      <c r="C19" s="208"/>
      <c r="D19" s="208"/>
      <c r="E19" s="238"/>
      <c r="F19" s="208"/>
      <c r="G19" s="208"/>
      <c r="H19" s="324"/>
    </row>
    <row r="20" spans="1:8" ht="15.75" x14ac:dyDescent="0.25">
      <c r="A20" s="224"/>
      <c r="B20" s="208"/>
      <c r="C20" s="208"/>
      <c r="D20" s="225"/>
      <c r="E20" s="240"/>
      <c r="F20" s="246"/>
      <c r="G20" s="242"/>
      <c r="H20" s="320">
        <f t="shared" ref="H20:H29" si="0">SUM(E20*G20)</f>
        <v>0</v>
      </c>
    </row>
    <row r="21" spans="1:8" ht="15.75" x14ac:dyDescent="0.25">
      <c r="A21" s="224"/>
      <c r="B21" s="208"/>
      <c r="C21" s="208"/>
      <c r="D21" s="225"/>
      <c r="E21" s="240"/>
      <c r="F21" s="246"/>
      <c r="G21" s="242"/>
      <c r="H21" s="320">
        <f t="shared" si="0"/>
        <v>0</v>
      </c>
    </row>
    <row r="22" spans="1:8" ht="15.75" x14ac:dyDescent="0.25">
      <c r="A22" s="224"/>
      <c r="B22" s="208"/>
      <c r="D22" s="225"/>
      <c r="E22" s="240"/>
      <c r="F22" s="246"/>
      <c r="G22" s="242"/>
      <c r="H22" s="320">
        <f>SUM(E22*G33)</f>
        <v>0</v>
      </c>
    </row>
    <row r="23" spans="1:8" ht="15.75" x14ac:dyDescent="0.25">
      <c r="A23" s="224"/>
      <c r="B23" s="208"/>
      <c r="D23" s="225"/>
      <c r="E23" s="221"/>
      <c r="F23" s="246"/>
      <c r="G23" s="242"/>
      <c r="H23" s="320">
        <f t="shared" si="0"/>
        <v>0</v>
      </c>
    </row>
    <row r="24" spans="1:8" ht="15.75" x14ac:dyDescent="0.25">
      <c r="A24" s="224"/>
      <c r="B24" s="208"/>
      <c r="D24" s="225"/>
      <c r="E24" s="240"/>
      <c r="F24" s="246"/>
      <c r="G24" s="242"/>
      <c r="H24" s="320">
        <f>SUM(E24*G24)</f>
        <v>0</v>
      </c>
    </row>
    <row r="25" spans="1:8" ht="15.75" x14ac:dyDescent="0.25">
      <c r="A25" s="224"/>
      <c r="B25" s="208"/>
      <c r="D25" s="225"/>
      <c r="E25" s="221"/>
      <c r="F25" s="244"/>
      <c r="G25" s="242"/>
      <c r="H25" s="320">
        <f t="shared" si="0"/>
        <v>0</v>
      </c>
    </row>
    <row r="26" spans="1:8" ht="15.75" x14ac:dyDescent="0.25">
      <c r="A26" s="224"/>
      <c r="B26" s="208"/>
      <c r="C26" s="208"/>
      <c r="D26" s="225"/>
      <c r="E26" s="240"/>
      <c r="F26" s="207"/>
      <c r="G26" s="242"/>
      <c r="H26" s="320">
        <f t="shared" si="0"/>
        <v>0</v>
      </c>
    </row>
    <row r="27" spans="1:8" ht="15.75" x14ac:dyDescent="0.25">
      <c r="A27" s="224"/>
      <c r="B27" s="208"/>
      <c r="C27" s="208"/>
      <c r="D27" s="225"/>
      <c r="E27" s="240"/>
      <c r="F27" s="246"/>
      <c r="G27" s="242"/>
      <c r="H27" s="320">
        <f t="shared" si="0"/>
        <v>0</v>
      </c>
    </row>
    <row r="28" spans="1:8" ht="15.75" x14ac:dyDescent="0.25">
      <c r="A28" s="224"/>
      <c r="B28" s="208"/>
      <c r="C28" s="208"/>
      <c r="D28" s="208"/>
      <c r="E28" s="240"/>
      <c r="F28" s="244"/>
      <c r="G28" s="242"/>
      <c r="H28" s="320">
        <f t="shared" si="0"/>
        <v>0</v>
      </c>
    </row>
    <row r="29" spans="1:8" ht="15.75" x14ac:dyDescent="0.25">
      <c r="A29" s="236"/>
      <c r="B29" s="211"/>
      <c r="C29" s="127"/>
      <c r="D29" s="245"/>
      <c r="E29" s="240"/>
      <c r="F29" s="246"/>
      <c r="G29" s="242"/>
      <c r="H29" s="320">
        <f t="shared" si="0"/>
        <v>0</v>
      </c>
    </row>
    <row r="30" spans="1:8" ht="16.5" thickBot="1" x14ac:dyDescent="0.3">
      <c r="A30" s="224"/>
      <c r="B30" s="208"/>
      <c r="C30" s="208"/>
      <c r="D30" s="188" t="s">
        <v>389</v>
      </c>
      <c r="E30" s="208"/>
      <c r="F30" s="208"/>
      <c r="G30" s="208"/>
      <c r="H30" s="321">
        <f>SUM(H20:H29)</f>
        <v>0</v>
      </c>
    </row>
    <row r="31" spans="1:8" ht="16.5" thickTop="1" x14ac:dyDescent="0.25">
      <c r="A31" s="236"/>
      <c r="B31" s="211"/>
      <c r="C31" s="211"/>
      <c r="D31" s="211"/>
      <c r="E31" s="211"/>
      <c r="F31" s="211"/>
      <c r="G31" s="211"/>
      <c r="H31" s="323"/>
    </row>
    <row r="32" spans="1:8" ht="15.75" x14ac:dyDescent="0.25">
      <c r="A32" s="224"/>
      <c r="B32" s="237" t="s">
        <v>386</v>
      </c>
      <c r="C32" s="208"/>
      <c r="D32" s="208"/>
      <c r="E32" s="236"/>
      <c r="F32" s="211"/>
      <c r="G32" s="211"/>
      <c r="H32" s="323"/>
    </row>
    <row r="33" spans="1:8" ht="15.75" x14ac:dyDescent="0.25">
      <c r="A33" s="224"/>
      <c r="B33" s="208"/>
      <c r="D33" s="225"/>
      <c r="E33" s="247"/>
      <c r="F33" s="210"/>
      <c r="G33" s="242"/>
      <c r="H33" s="320">
        <f>SUM(E33*G33)</f>
        <v>0</v>
      </c>
    </row>
    <row r="34" spans="1:8" ht="15.75" x14ac:dyDescent="0.25">
      <c r="A34" s="224"/>
      <c r="B34" s="208"/>
      <c r="D34" s="225"/>
      <c r="E34" s="247"/>
      <c r="F34" s="244"/>
      <c r="G34" s="248"/>
      <c r="H34" s="320">
        <f t="shared" ref="H34:H39" si="1">SUM(E34*G34)</f>
        <v>0</v>
      </c>
    </row>
    <row r="35" spans="1:8" ht="15.75" x14ac:dyDescent="0.25">
      <c r="A35" s="224"/>
      <c r="B35" s="1143"/>
      <c r="C35" s="806"/>
      <c r="D35" s="1144"/>
      <c r="E35" s="247"/>
      <c r="F35" s="207"/>
      <c r="G35" s="248"/>
      <c r="H35" s="320">
        <f t="shared" si="1"/>
        <v>0</v>
      </c>
    </row>
    <row r="36" spans="1:8" ht="15.75" x14ac:dyDescent="0.25">
      <c r="A36" s="224"/>
      <c r="B36" s="1143"/>
      <c r="C36" s="806"/>
      <c r="D36" s="1144"/>
      <c r="E36" s="247"/>
      <c r="F36" s="244"/>
      <c r="G36" s="248"/>
      <c r="H36" s="320">
        <f t="shared" si="1"/>
        <v>0</v>
      </c>
    </row>
    <row r="37" spans="1:8" ht="15.75" x14ac:dyDescent="0.25">
      <c r="A37" s="224"/>
      <c r="B37" s="1143"/>
      <c r="C37" s="806"/>
      <c r="D37" s="1144"/>
      <c r="E37" s="240"/>
      <c r="F37" s="207"/>
      <c r="G37" s="242"/>
      <c r="H37" s="320">
        <f t="shared" si="1"/>
        <v>0</v>
      </c>
    </row>
    <row r="38" spans="1:8" ht="15.75" x14ac:dyDescent="0.25">
      <c r="A38" s="224"/>
      <c r="B38" s="1143"/>
      <c r="C38" s="806"/>
      <c r="D38" s="1144"/>
      <c r="E38" s="240"/>
      <c r="F38" s="246"/>
      <c r="G38" s="242"/>
      <c r="H38" s="320">
        <f t="shared" si="1"/>
        <v>0</v>
      </c>
    </row>
    <row r="39" spans="1:8" ht="15.75" x14ac:dyDescent="0.25">
      <c r="A39" s="224"/>
      <c r="B39" s="1145"/>
      <c r="C39" s="1146"/>
      <c r="D39" s="1147"/>
      <c r="E39" s="240"/>
      <c r="F39" s="246"/>
      <c r="G39" s="242"/>
      <c r="H39" s="320">
        <f t="shared" si="1"/>
        <v>0</v>
      </c>
    </row>
    <row r="40" spans="1:8" ht="16.5" thickBot="1" x14ac:dyDescent="0.3">
      <c r="A40" s="235"/>
      <c r="B40" s="208"/>
      <c r="C40" s="208"/>
      <c r="D40" s="188" t="s">
        <v>389</v>
      </c>
      <c r="E40" s="208"/>
      <c r="F40" s="208"/>
      <c r="G40" s="208"/>
      <c r="H40" s="321">
        <f>SUM(H33:H39)</f>
        <v>0</v>
      </c>
    </row>
    <row r="41" spans="1:8" ht="16.5" thickTop="1" x14ac:dyDescent="0.25">
      <c r="A41" s="224"/>
      <c r="B41" s="211"/>
      <c r="C41" s="211"/>
      <c r="D41" s="211"/>
      <c r="E41" s="211"/>
      <c r="F41" s="211"/>
      <c r="G41" s="211"/>
      <c r="H41" s="249"/>
    </row>
    <row r="42" spans="1:8" ht="15.75" x14ac:dyDescent="0.25">
      <c r="A42" s="239"/>
      <c r="B42" s="208"/>
      <c r="C42" s="208"/>
      <c r="D42" s="208"/>
      <c r="E42" s="208"/>
      <c r="F42" s="208"/>
      <c r="G42" s="208"/>
      <c r="H42" s="208"/>
    </row>
    <row r="43" spans="1:8" ht="15.75" x14ac:dyDescent="0.25">
      <c r="A43" s="224"/>
      <c r="B43" s="250"/>
      <c r="C43" s="251"/>
      <c r="D43" s="251"/>
      <c r="E43" s="252"/>
      <c r="F43" s="230"/>
      <c r="G43" s="253"/>
      <c r="H43" s="254"/>
    </row>
    <row r="44" spans="1:8" x14ac:dyDescent="0.25">
      <c r="A44" s="1141" t="s">
        <v>381</v>
      </c>
      <c r="B44" s="850"/>
      <c r="C44" s="850"/>
      <c r="D44" s="850"/>
      <c r="E44" s="850"/>
      <c r="F44" s="850"/>
      <c r="G44" s="850"/>
      <c r="H44" s="1142"/>
    </row>
    <row r="45" spans="1:8" x14ac:dyDescent="0.25">
      <c r="A45" s="1141" t="s">
        <v>382</v>
      </c>
      <c r="B45" s="850"/>
      <c r="C45" s="850"/>
      <c r="D45" s="850"/>
      <c r="E45" s="850"/>
      <c r="F45" s="850"/>
      <c r="G45" s="850"/>
      <c r="H45" s="1142"/>
    </row>
    <row r="46" spans="1:8" x14ac:dyDescent="0.25">
      <c r="A46" s="1141" t="s">
        <v>395</v>
      </c>
      <c r="B46" s="850"/>
      <c r="C46" s="850"/>
      <c r="D46" s="850"/>
      <c r="E46" s="850"/>
      <c r="F46" s="850"/>
      <c r="G46" s="850"/>
      <c r="H46" s="1142"/>
    </row>
    <row r="47" spans="1:8" ht="15.75" x14ac:dyDescent="0.25">
      <c r="A47" s="255"/>
      <c r="B47" s="209"/>
      <c r="C47" s="209"/>
      <c r="D47" s="209"/>
      <c r="E47" s="209"/>
      <c r="F47" s="209"/>
      <c r="G47" s="209"/>
      <c r="H47" s="256"/>
    </row>
    <row r="48" spans="1:8" ht="15.75" x14ac:dyDescent="0.25">
      <c r="A48" s="208"/>
      <c r="B48" s="208"/>
      <c r="C48" s="208"/>
      <c r="D48" s="208"/>
      <c r="E48" s="208"/>
      <c r="F48" s="208"/>
      <c r="G48" s="208"/>
      <c r="H48" s="208"/>
    </row>
    <row r="49" spans="1:8" ht="15.75" x14ac:dyDescent="0.25">
      <c r="A49" s="208"/>
      <c r="B49" s="208"/>
      <c r="C49" s="208"/>
      <c r="D49" s="208"/>
      <c r="E49" s="208"/>
      <c r="F49" s="208"/>
      <c r="G49" s="208"/>
      <c r="H49" s="208"/>
    </row>
    <row r="50" spans="1:8" ht="17.25" x14ac:dyDescent="0.35">
      <c r="A50" s="325" t="s">
        <v>406</v>
      </c>
      <c r="B50" s="257"/>
      <c r="C50" s="326" t="s">
        <v>405</v>
      </c>
      <c r="D50" s="258"/>
      <c r="E50" s="188"/>
      <c r="F50" s="188"/>
      <c r="G50" s="188"/>
      <c r="H50" s="188"/>
    </row>
    <row r="51" spans="1:8" x14ac:dyDescent="0.25">
      <c r="A51" s="188"/>
    </row>
  </sheetData>
  <mergeCells count="14">
    <mergeCell ref="E10:F10"/>
    <mergeCell ref="G3:H3"/>
    <mergeCell ref="B6:C6"/>
    <mergeCell ref="D6:F6"/>
    <mergeCell ref="G6:H6"/>
    <mergeCell ref="E9:F9"/>
    <mergeCell ref="A45:H45"/>
    <mergeCell ref="A46:H46"/>
    <mergeCell ref="B35:D35"/>
    <mergeCell ref="B36:D36"/>
    <mergeCell ref="B37:D37"/>
    <mergeCell ref="B38:D38"/>
    <mergeCell ref="B39:D39"/>
    <mergeCell ref="A44:H44"/>
  </mergeCells>
  <pageMargins left="0.7" right="0.7" top="0.78740157499999996" bottom="0.78740157499999996" header="0.3" footer="0.3"/>
  <pageSetup paperSize="9" scale="93" fitToWidth="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76FF-877A-4F5A-B1D1-A1BCD90DEF5B}">
  <sheetPr>
    <pageSetUpPr fitToPage="1"/>
  </sheetPr>
  <dimension ref="A1:F52"/>
  <sheetViews>
    <sheetView zoomScaleNormal="100" workbookViewId="0">
      <selection activeCell="H7" sqref="H7"/>
    </sheetView>
  </sheetViews>
  <sheetFormatPr baseColWidth="10" defaultRowHeight="15" x14ac:dyDescent="0.25"/>
  <cols>
    <col min="4" max="4" width="30.85546875" customWidth="1"/>
  </cols>
  <sheetData>
    <row r="1" spans="1:6" ht="15.75" x14ac:dyDescent="0.25">
      <c r="A1" s="1162" t="s">
        <v>396</v>
      </c>
      <c r="B1" s="1163"/>
      <c r="C1" s="1163"/>
      <c r="D1" s="1163"/>
      <c r="E1" s="1164" t="s">
        <v>404</v>
      </c>
      <c r="F1" s="1152"/>
    </row>
    <row r="2" spans="1:6" ht="15.75" x14ac:dyDescent="0.25">
      <c r="A2" s="206"/>
      <c r="B2" s="207"/>
      <c r="C2" s="206"/>
      <c r="D2" s="208"/>
      <c r="E2" s="189"/>
      <c r="F2" s="94"/>
    </row>
    <row r="3" spans="1:6" ht="15.75" x14ac:dyDescent="0.25">
      <c r="A3" s="1165" t="s">
        <v>369</v>
      </c>
      <c r="B3" s="850"/>
      <c r="C3" s="850"/>
      <c r="D3" s="261" t="s">
        <v>51</v>
      </c>
      <c r="E3" s="1166" t="s">
        <v>370</v>
      </c>
      <c r="F3" s="797"/>
    </row>
    <row r="4" spans="1:6" ht="15.75" x14ac:dyDescent="0.25">
      <c r="A4" s="209"/>
      <c r="B4" s="210"/>
      <c r="C4" s="209"/>
      <c r="D4" s="211"/>
      <c r="E4" s="212"/>
      <c r="F4" s="212"/>
    </row>
    <row r="5" spans="1:6" ht="15.75" x14ac:dyDescent="0.25">
      <c r="A5" s="206"/>
      <c r="B5" s="207"/>
      <c r="C5" s="206"/>
      <c r="D5" s="207"/>
      <c r="E5" s="213"/>
      <c r="F5" s="206"/>
    </row>
    <row r="6" spans="1:6" x14ac:dyDescent="0.25">
      <c r="A6" s="1167">
        <v>0</v>
      </c>
      <c r="B6" s="1167"/>
      <c r="C6" s="1167"/>
      <c r="D6" s="262">
        <v>0</v>
      </c>
      <c r="E6" s="1167">
        <v>0</v>
      </c>
      <c r="F6" s="1167"/>
    </row>
    <row r="7" spans="1:6" ht="15.75" x14ac:dyDescent="0.25">
      <c r="A7" s="210"/>
      <c r="B7" s="210"/>
      <c r="C7" s="209"/>
      <c r="D7" s="211"/>
      <c r="E7" s="212"/>
      <c r="F7" s="212"/>
    </row>
    <row r="8" spans="1:6" ht="15.75" x14ac:dyDescent="0.25">
      <c r="A8" s="214"/>
      <c r="B8" s="215"/>
      <c r="C8" s="216"/>
      <c r="D8" s="217"/>
      <c r="E8" s="218"/>
      <c r="F8" s="219"/>
    </row>
    <row r="9" spans="1:6" x14ac:dyDescent="0.25">
      <c r="A9" s="1168" t="s">
        <v>371</v>
      </c>
      <c r="B9" s="1169"/>
      <c r="C9" s="263"/>
      <c r="D9" s="264"/>
      <c r="E9" s="1168" t="s">
        <v>59</v>
      </c>
      <c r="F9" s="1170"/>
    </row>
    <row r="10" spans="1:6" ht="15.75" x14ac:dyDescent="0.25">
      <c r="A10" s="265"/>
      <c r="B10" s="266" t="s">
        <v>79</v>
      </c>
      <c r="C10" s="1168" t="s">
        <v>372</v>
      </c>
      <c r="D10" s="1171"/>
      <c r="E10" s="263" t="s">
        <v>63</v>
      </c>
      <c r="F10" s="267" t="s">
        <v>62</v>
      </c>
    </row>
    <row r="11" spans="1:6" x14ac:dyDescent="0.25">
      <c r="A11" s="268" t="s">
        <v>373</v>
      </c>
      <c r="B11" s="268" t="s">
        <v>374</v>
      </c>
      <c r="C11" s="269"/>
      <c r="D11" s="270"/>
      <c r="E11" s="268" t="s">
        <v>375</v>
      </c>
      <c r="F11" s="271" t="s">
        <v>375</v>
      </c>
    </row>
    <row r="12" spans="1:6" ht="15.75" x14ac:dyDescent="0.25">
      <c r="A12" s="272"/>
      <c r="B12" s="261"/>
      <c r="C12" s="1172"/>
      <c r="D12" s="1173"/>
      <c r="E12" s="273"/>
      <c r="F12" s="274">
        <f>SUM(A12*E12)</f>
        <v>0</v>
      </c>
    </row>
    <row r="13" spans="1:6" ht="15.75" x14ac:dyDescent="0.25">
      <c r="A13" s="275"/>
      <c r="B13" s="275"/>
      <c r="C13" s="1155"/>
      <c r="D13" s="1156"/>
      <c r="E13" s="273"/>
      <c r="F13" s="274">
        <f>SUM(A13*E13)</f>
        <v>0</v>
      </c>
    </row>
    <row r="14" spans="1:6" ht="15.75" x14ac:dyDescent="0.25">
      <c r="A14" s="275"/>
      <c r="B14" s="275"/>
      <c r="C14" s="1155"/>
      <c r="D14" s="1160"/>
      <c r="E14" s="273"/>
      <c r="F14" s="274">
        <f>SUM(A14*E14)</f>
        <v>0</v>
      </c>
    </row>
    <row r="15" spans="1:6" ht="15.75" x14ac:dyDescent="0.25">
      <c r="A15" s="275"/>
      <c r="B15" s="275"/>
      <c r="C15" s="1155"/>
      <c r="D15" s="1160"/>
      <c r="E15" s="273"/>
      <c r="F15" s="274">
        <f>SUM(A15*E15)</f>
        <v>0</v>
      </c>
    </row>
    <row r="16" spans="1:6" ht="15.75" x14ac:dyDescent="0.25">
      <c r="A16" s="275"/>
      <c r="B16" s="275"/>
      <c r="C16" s="1155"/>
      <c r="D16" s="1160"/>
      <c r="E16" s="273"/>
      <c r="F16" s="274">
        <f t="shared" ref="F16:F44" si="0">SUM(A16*E16)</f>
        <v>0</v>
      </c>
    </row>
    <row r="17" spans="1:6" ht="15.75" x14ac:dyDescent="0.25">
      <c r="A17" s="275"/>
      <c r="B17" s="275"/>
      <c r="C17" s="1155"/>
      <c r="D17" s="1160"/>
      <c r="E17" s="273"/>
      <c r="F17" s="274">
        <f t="shared" si="0"/>
        <v>0</v>
      </c>
    </row>
    <row r="18" spans="1:6" ht="15.75" x14ac:dyDescent="0.25">
      <c r="A18" s="275"/>
      <c r="B18" s="275"/>
      <c r="C18" s="1155"/>
      <c r="D18" s="1160"/>
      <c r="E18" s="273"/>
      <c r="F18" s="274">
        <f t="shared" si="0"/>
        <v>0</v>
      </c>
    </row>
    <row r="19" spans="1:6" ht="15.75" x14ac:dyDescent="0.25">
      <c r="A19" s="275"/>
      <c r="B19" s="275"/>
      <c r="C19" s="1155"/>
      <c r="D19" s="1160"/>
      <c r="E19" s="273"/>
      <c r="F19" s="274">
        <f t="shared" si="0"/>
        <v>0</v>
      </c>
    </row>
    <row r="20" spans="1:6" ht="15.75" x14ac:dyDescent="0.25">
      <c r="A20" s="275"/>
      <c r="B20" s="275"/>
      <c r="C20" s="1155"/>
      <c r="D20" s="1160"/>
      <c r="E20" s="273"/>
      <c r="F20" s="274">
        <f t="shared" si="0"/>
        <v>0</v>
      </c>
    </row>
    <row r="21" spans="1:6" ht="15.75" x14ac:dyDescent="0.25">
      <c r="A21" s="275"/>
      <c r="B21" s="275"/>
      <c r="C21" s="1155"/>
      <c r="D21" s="1160"/>
      <c r="E21" s="273"/>
      <c r="F21" s="274">
        <f t="shared" si="0"/>
        <v>0</v>
      </c>
    </row>
    <row r="22" spans="1:6" ht="15.75" x14ac:dyDescent="0.25">
      <c r="A22" s="275"/>
      <c r="B22" s="275"/>
      <c r="C22" s="1155"/>
      <c r="D22" s="1160"/>
      <c r="E22" s="273"/>
      <c r="F22" s="274">
        <f t="shared" si="0"/>
        <v>0</v>
      </c>
    </row>
    <row r="23" spans="1:6" ht="15.75" x14ac:dyDescent="0.25">
      <c r="A23" s="275"/>
      <c r="B23" s="275"/>
      <c r="C23" s="1155"/>
      <c r="D23" s="1160"/>
      <c r="E23" s="273"/>
      <c r="F23" s="274">
        <f t="shared" si="0"/>
        <v>0</v>
      </c>
    </row>
    <row r="24" spans="1:6" ht="15.75" x14ac:dyDescent="0.25">
      <c r="A24" s="275"/>
      <c r="B24" s="275"/>
      <c r="C24" s="1155"/>
      <c r="D24" s="1160"/>
      <c r="E24" s="277"/>
      <c r="F24" s="274">
        <f t="shared" si="0"/>
        <v>0</v>
      </c>
    </row>
    <row r="25" spans="1:6" ht="15.75" x14ac:dyDescent="0.25">
      <c r="A25" s="275"/>
      <c r="B25" s="275"/>
      <c r="C25" s="1155"/>
      <c r="D25" s="1160"/>
      <c r="E25" s="273"/>
      <c r="F25" s="274">
        <f t="shared" si="0"/>
        <v>0</v>
      </c>
    </row>
    <row r="26" spans="1:6" ht="15.75" x14ac:dyDescent="0.25">
      <c r="A26" s="275"/>
      <c r="B26" s="275"/>
      <c r="C26" s="1155"/>
      <c r="D26" s="1156"/>
      <c r="E26" s="273"/>
      <c r="F26" s="274">
        <f t="shared" si="0"/>
        <v>0</v>
      </c>
    </row>
    <row r="27" spans="1:6" ht="15.75" x14ac:dyDescent="0.25">
      <c r="A27" s="275"/>
      <c r="B27" s="275"/>
      <c r="C27" s="1155"/>
      <c r="D27" s="1156"/>
      <c r="E27" s="273"/>
      <c r="F27" s="274">
        <f t="shared" si="0"/>
        <v>0</v>
      </c>
    </row>
    <row r="28" spans="1:6" ht="15.75" x14ac:dyDescent="0.25">
      <c r="A28" s="275"/>
      <c r="B28" s="275"/>
      <c r="C28" s="1155"/>
      <c r="D28" s="1156"/>
      <c r="E28" s="273"/>
      <c r="F28" s="274">
        <f t="shared" si="0"/>
        <v>0</v>
      </c>
    </row>
    <row r="29" spans="1:6" ht="15.75" x14ac:dyDescent="0.25">
      <c r="A29" s="275"/>
      <c r="B29" s="275"/>
      <c r="C29" s="1155"/>
      <c r="D29" s="1160"/>
      <c r="E29" s="273"/>
      <c r="F29" s="274">
        <f t="shared" si="0"/>
        <v>0</v>
      </c>
    </row>
    <row r="30" spans="1:6" ht="15.75" x14ac:dyDescent="0.25">
      <c r="A30" s="275"/>
      <c r="B30" s="275"/>
      <c r="C30" s="1155"/>
      <c r="D30" s="1160"/>
      <c r="E30" s="273"/>
      <c r="F30" s="274">
        <f t="shared" si="0"/>
        <v>0</v>
      </c>
    </row>
    <row r="31" spans="1:6" ht="15.75" x14ac:dyDescent="0.25">
      <c r="A31" s="275"/>
      <c r="B31" s="275"/>
      <c r="C31" s="1155"/>
      <c r="D31" s="1160"/>
      <c r="E31" s="273"/>
      <c r="F31" s="274">
        <f t="shared" si="0"/>
        <v>0</v>
      </c>
    </row>
    <row r="32" spans="1:6" ht="15.75" x14ac:dyDescent="0.25">
      <c r="A32" s="275"/>
      <c r="B32" s="275"/>
      <c r="C32" s="1155"/>
      <c r="D32" s="1160"/>
      <c r="E32" s="273"/>
      <c r="F32" s="274">
        <f t="shared" si="0"/>
        <v>0</v>
      </c>
    </row>
    <row r="33" spans="1:6" ht="15.75" x14ac:dyDescent="0.25">
      <c r="A33" s="275"/>
      <c r="B33" s="275"/>
      <c r="C33" s="1155"/>
      <c r="D33" s="1160"/>
      <c r="E33" s="273"/>
      <c r="F33" s="274">
        <f t="shared" si="0"/>
        <v>0</v>
      </c>
    </row>
    <row r="34" spans="1:6" ht="15.75" x14ac:dyDescent="0.25">
      <c r="A34" s="275"/>
      <c r="B34" s="275"/>
      <c r="C34" s="1155"/>
      <c r="D34" s="1160"/>
      <c r="E34" s="273"/>
      <c r="F34" s="274">
        <f t="shared" si="0"/>
        <v>0</v>
      </c>
    </row>
    <row r="35" spans="1:6" ht="15.75" x14ac:dyDescent="0.25">
      <c r="A35" s="275"/>
      <c r="B35" s="275"/>
      <c r="C35" s="1155"/>
      <c r="D35" s="1160"/>
      <c r="E35" s="273"/>
      <c r="F35" s="274">
        <f t="shared" si="0"/>
        <v>0</v>
      </c>
    </row>
    <row r="36" spans="1:6" ht="15.75" x14ac:dyDescent="0.25">
      <c r="A36" s="275"/>
      <c r="B36" s="275"/>
      <c r="C36" s="1155"/>
      <c r="D36" s="1160"/>
      <c r="E36" s="273"/>
      <c r="F36" s="274">
        <f t="shared" si="0"/>
        <v>0</v>
      </c>
    </row>
    <row r="37" spans="1:6" ht="15.75" x14ac:dyDescent="0.25">
      <c r="A37" s="278"/>
      <c r="B37" s="261"/>
      <c r="C37" s="1155"/>
      <c r="D37" s="1160"/>
      <c r="E37" s="279"/>
      <c r="F37" s="274">
        <f t="shared" si="0"/>
        <v>0</v>
      </c>
    </row>
    <row r="38" spans="1:6" ht="15.75" x14ac:dyDescent="0.25">
      <c r="A38" s="275"/>
      <c r="B38" s="275"/>
      <c r="C38" s="1155"/>
      <c r="D38" s="1160"/>
      <c r="E38" s="273"/>
      <c r="F38" s="274">
        <f t="shared" si="0"/>
        <v>0</v>
      </c>
    </row>
    <row r="39" spans="1:6" ht="15.75" x14ac:dyDescent="0.25">
      <c r="A39" s="275"/>
      <c r="B39" s="275"/>
      <c r="C39" s="1155"/>
      <c r="D39" s="1160"/>
      <c r="E39" s="273"/>
      <c r="F39" s="274">
        <f t="shared" si="0"/>
        <v>0</v>
      </c>
    </row>
    <row r="40" spans="1:6" ht="15.75" x14ac:dyDescent="0.25">
      <c r="A40" s="275"/>
      <c r="B40" s="275"/>
      <c r="C40" s="1155"/>
      <c r="D40" s="1160"/>
      <c r="E40" s="273"/>
      <c r="F40" s="274">
        <f t="shared" si="0"/>
        <v>0</v>
      </c>
    </row>
    <row r="41" spans="1:6" ht="15.75" x14ac:dyDescent="0.25">
      <c r="A41" s="275"/>
      <c r="B41" s="275"/>
      <c r="C41" s="1161"/>
      <c r="D41" s="1156"/>
      <c r="E41" s="273"/>
      <c r="F41" s="274">
        <f t="shared" si="0"/>
        <v>0</v>
      </c>
    </row>
    <row r="42" spans="1:6" ht="15.75" x14ac:dyDescent="0.25">
      <c r="A42" s="275"/>
      <c r="B42" s="275"/>
      <c r="C42" s="1155"/>
      <c r="D42" s="1160"/>
      <c r="E42" s="273"/>
      <c r="F42" s="274">
        <f t="shared" si="0"/>
        <v>0</v>
      </c>
    </row>
    <row r="43" spans="1:6" ht="15.75" x14ac:dyDescent="0.25">
      <c r="A43" s="275"/>
      <c r="B43" s="275"/>
      <c r="C43" s="1161"/>
      <c r="D43" s="1144"/>
      <c r="E43" s="280"/>
      <c r="F43" s="274">
        <f t="shared" si="0"/>
        <v>0</v>
      </c>
    </row>
    <row r="44" spans="1:6" ht="15.75" x14ac:dyDescent="0.25">
      <c r="A44" s="275"/>
      <c r="B44" s="275"/>
      <c r="C44" s="1161"/>
      <c r="D44" s="1156"/>
      <c r="E44" s="280"/>
      <c r="F44" s="274">
        <f t="shared" si="0"/>
        <v>0</v>
      </c>
    </row>
    <row r="45" spans="1:6" ht="15.75" x14ac:dyDescent="0.25">
      <c r="A45" s="275"/>
      <c r="B45" s="275"/>
      <c r="C45" s="1155"/>
      <c r="D45" s="1156"/>
      <c r="E45" s="280"/>
      <c r="F45" s="274">
        <f>SUM(A45*E45)</f>
        <v>0</v>
      </c>
    </row>
    <row r="46" spans="1:6" ht="15.75" x14ac:dyDescent="0.25">
      <c r="A46" s="279"/>
      <c r="B46" s="281"/>
      <c r="C46" s="1157" t="s">
        <v>376</v>
      </c>
      <c r="D46" s="1144"/>
      <c r="E46" s="281"/>
      <c r="F46" s="279"/>
    </row>
    <row r="47" spans="1:6" ht="15.75" x14ac:dyDescent="0.25">
      <c r="A47" s="278"/>
      <c r="B47" s="261"/>
      <c r="C47" s="282" t="s">
        <v>377</v>
      </c>
      <c r="D47" s="125"/>
      <c r="E47" s="280"/>
      <c r="F47" s="274">
        <f>SUM(A47*E47)</f>
        <v>0</v>
      </c>
    </row>
    <row r="48" spans="1:6" ht="15.75" x14ac:dyDescent="0.25">
      <c r="A48" s="283"/>
      <c r="B48" s="284"/>
      <c r="C48" s="282" t="s">
        <v>378</v>
      </c>
      <c r="D48" s="125"/>
      <c r="E48" s="285"/>
      <c r="F48" s="286">
        <f>SUM(A48*E48)</f>
        <v>0</v>
      </c>
    </row>
    <row r="49" spans="1:6" ht="15.75" x14ac:dyDescent="0.25">
      <c r="A49" s="283"/>
      <c r="B49" s="284"/>
      <c r="C49" s="287"/>
      <c r="D49" s="288"/>
      <c r="E49" s="285"/>
      <c r="F49" s="289"/>
    </row>
    <row r="50" spans="1:6" x14ac:dyDescent="0.25">
      <c r="A50" s="269"/>
      <c r="B50" s="290"/>
      <c r="C50" s="1158" t="s">
        <v>379</v>
      </c>
      <c r="D50" s="1159"/>
      <c r="E50" s="291"/>
      <c r="F50" s="292"/>
    </row>
    <row r="51" spans="1:6" ht="16.5" thickBot="1" x14ac:dyDescent="0.3">
      <c r="A51" s="287"/>
      <c r="B51" s="266"/>
      <c r="C51" s="287"/>
      <c r="D51" s="281" t="s">
        <v>380</v>
      </c>
      <c r="E51" s="293"/>
      <c r="F51" s="294">
        <f>SUM(F12:F50)</f>
        <v>0</v>
      </c>
    </row>
    <row r="52" spans="1:6" ht="15.75" thickTop="1" x14ac:dyDescent="0.25"/>
  </sheetData>
  <mergeCells count="45">
    <mergeCell ref="C14:D14"/>
    <mergeCell ref="A1:D1"/>
    <mergeCell ref="E1:F1"/>
    <mergeCell ref="A3:C3"/>
    <mergeCell ref="E3:F3"/>
    <mergeCell ref="A6:C6"/>
    <mergeCell ref="E6:F6"/>
    <mergeCell ref="A9:B9"/>
    <mergeCell ref="E9:F9"/>
    <mergeCell ref="C10:D10"/>
    <mergeCell ref="C12:D12"/>
    <mergeCell ref="C13:D13"/>
    <mergeCell ref="C26:D26"/>
    <mergeCell ref="C15:D15"/>
    <mergeCell ref="C16:D16"/>
    <mergeCell ref="C17:D17"/>
    <mergeCell ref="C18:D18"/>
    <mergeCell ref="C19:D19"/>
    <mergeCell ref="C20:D20"/>
    <mergeCell ref="C21:D21"/>
    <mergeCell ref="C22:D22"/>
    <mergeCell ref="C23:D23"/>
    <mergeCell ref="C24:D24"/>
    <mergeCell ref="C25:D25"/>
    <mergeCell ref="C38:D38"/>
    <mergeCell ref="C27:D27"/>
    <mergeCell ref="C28:D28"/>
    <mergeCell ref="C29:D29"/>
    <mergeCell ref="C30:D30"/>
    <mergeCell ref="C31:D31"/>
    <mergeCell ref="C32:D32"/>
    <mergeCell ref="C33:D33"/>
    <mergeCell ref="C34:D34"/>
    <mergeCell ref="C35:D35"/>
    <mergeCell ref="C36:D36"/>
    <mergeCell ref="C37:D37"/>
    <mergeCell ref="C45:D45"/>
    <mergeCell ref="C46:D46"/>
    <mergeCell ref="C50:D50"/>
    <mergeCell ref="C39:D39"/>
    <mergeCell ref="C40:D40"/>
    <mergeCell ref="C41:D41"/>
    <mergeCell ref="C42:D42"/>
    <mergeCell ref="C43:D43"/>
    <mergeCell ref="C44:D44"/>
  </mergeCells>
  <pageMargins left="0.7" right="0.7" top="0.78740157499999996" bottom="0.78740157499999996" header="0.3" footer="0.3"/>
  <pageSetup paperSize="9" scale="94" fitToWidth="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1596-41CD-4A06-935B-DBFE84C4DC6F}">
  <sheetPr>
    <pageSetUpPr fitToPage="1"/>
  </sheetPr>
  <dimension ref="A1:E51"/>
  <sheetViews>
    <sheetView zoomScaleNormal="100" workbookViewId="0">
      <selection activeCell="C45" sqref="C45"/>
    </sheetView>
  </sheetViews>
  <sheetFormatPr baseColWidth="10" defaultRowHeight="15" x14ac:dyDescent="0.25"/>
  <cols>
    <col min="5" max="5" width="34.140625" customWidth="1"/>
  </cols>
  <sheetData>
    <row r="1" spans="1:5" ht="15.75" x14ac:dyDescent="0.25">
      <c r="A1" s="208"/>
      <c r="B1" s="208"/>
      <c r="C1" s="259" t="s">
        <v>397</v>
      </c>
      <c r="D1" s="295"/>
      <c r="E1" s="208"/>
    </row>
    <row r="2" spans="1:5" ht="15.75" x14ac:dyDescent="0.25">
      <c r="A2" s="211"/>
      <c r="B2" s="211"/>
      <c r="C2" s="211"/>
      <c r="D2" s="296"/>
      <c r="E2" s="297"/>
    </row>
    <row r="3" spans="1:5" x14ac:dyDescent="0.25">
      <c r="A3" s="1174" t="s">
        <v>371</v>
      </c>
      <c r="B3" s="1175"/>
      <c r="C3" s="158"/>
      <c r="D3" s="1174" t="s">
        <v>59</v>
      </c>
      <c r="E3" s="1175"/>
    </row>
    <row r="4" spans="1:5" x14ac:dyDescent="0.25">
      <c r="A4" s="282"/>
      <c r="B4" s="267" t="s">
        <v>352</v>
      </c>
      <c r="C4" s="284" t="s">
        <v>372</v>
      </c>
      <c r="D4" s="298" t="s">
        <v>63</v>
      </c>
      <c r="E4" s="267" t="s">
        <v>62</v>
      </c>
    </row>
    <row r="5" spans="1:5" x14ac:dyDescent="0.25">
      <c r="A5" s="263" t="s">
        <v>373</v>
      </c>
      <c r="B5" s="284" t="s">
        <v>398</v>
      </c>
      <c r="C5" s="299"/>
      <c r="D5" s="298" t="s">
        <v>375</v>
      </c>
      <c r="E5" s="284" t="s">
        <v>375</v>
      </c>
    </row>
    <row r="6" spans="1:5" ht="15.75" x14ac:dyDescent="0.25">
      <c r="A6" s="300"/>
      <c r="B6" s="301"/>
      <c r="C6" s="301"/>
      <c r="D6" s="302"/>
      <c r="E6" s="301"/>
    </row>
    <row r="7" spans="1:5" ht="15.75" x14ac:dyDescent="0.25">
      <c r="A7" s="265"/>
      <c r="B7" s="279"/>
      <c r="C7" s="279"/>
      <c r="D7" s="303"/>
      <c r="E7" s="279"/>
    </row>
    <row r="8" spans="1:5" ht="15.75" x14ac:dyDescent="0.25">
      <c r="A8" s="275"/>
      <c r="B8" s="278"/>
      <c r="C8" s="304"/>
      <c r="D8" s="305"/>
      <c r="E8" s="274">
        <f>SUM(A8*D8)</f>
        <v>0</v>
      </c>
    </row>
    <row r="9" spans="1:5" ht="15.75" x14ac:dyDescent="0.25">
      <c r="A9" s="275"/>
      <c r="B9" s="278"/>
      <c r="C9" s="306"/>
      <c r="D9" s="305"/>
      <c r="E9" s="274">
        <f>SUM(A9*D9)</f>
        <v>0</v>
      </c>
    </row>
    <row r="10" spans="1:5" ht="15.75" x14ac:dyDescent="0.25">
      <c r="A10" s="275"/>
      <c r="B10" s="278"/>
      <c r="C10" s="306"/>
      <c r="D10" s="305"/>
      <c r="E10" s="274">
        <f t="shared" ref="E10:E39" si="0">SUM(A10*D10)</f>
        <v>0</v>
      </c>
    </row>
    <row r="11" spans="1:5" ht="15.75" x14ac:dyDescent="0.25">
      <c r="A11" s="275"/>
      <c r="B11" s="278"/>
      <c r="C11" s="306"/>
      <c r="D11" s="305"/>
      <c r="E11" s="274">
        <f t="shared" si="0"/>
        <v>0</v>
      </c>
    </row>
    <row r="12" spans="1:5" ht="15.75" x14ac:dyDescent="0.25">
      <c r="A12" s="275"/>
      <c r="B12" s="278"/>
      <c r="C12" s="306"/>
      <c r="D12" s="305"/>
      <c r="E12" s="274">
        <f t="shared" si="0"/>
        <v>0</v>
      </c>
    </row>
    <row r="13" spans="1:5" ht="15.75" x14ac:dyDescent="0.25">
      <c r="A13" s="275"/>
      <c r="B13" s="278"/>
      <c r="C13" s="306"/>
      <c r="D13" s="305"/>
      <c r="E13" s="274">
        <f t="shared" si="0"/>
        <v>0</v>
      </c>
    </row>
    <row r="14" spans="1:5" ht="15.75" x14ac:dyDescent="0.25">
      <c r="A14" s="275"/>
      <c r="B14" s="278"/>
      <c r="C14" s="306"/>
      <c r="D14" s="305"/>
      <c r="E14" s="274">
        <f t="shared" si="0"/>
        <v>0</v>
      </c>
    </row>
    <row r="15" spans="1:5" ht="15.75" x14ac:dyDescent="0.25">
      <c r="A15" s="275"/>
      <c r="B15" s="278"/>
      <c r="C15" s="306"/>
      <c r="D15" s="305"/>
      <c r="E15" s="274">
        <f t="shared" si="0"/>
        <v>0</v>
      </c>
    </row>
    <row r="16" spans="1:5" ht="15.75" x14ac:dyDescent="0.25">
      <c r="A16" s="275"/>
      <c r="B16" s="278"/>
      <c r="C16" s="306"/>
      <c r="D16" s="305"/>
      <c r="E16" s="274">
        <f t="shared" si="0"/>
        <v>0</v>
      </c>
    </row>
    <row r="17" spans="1:5" ht="15.75" x14ac:dyDescent="0.25">
      <c r="A17" s="275"/>
      <c r="B17" s="278"/>
      <c r="C17" s="306"/>
      <c r="D17" s="305"/>
      <c r="E17" s="274">
        <f t="shared" si="0"/>
        <v>0</v>
      </c>
    </row>
    <row r="18" spans="1:5" ht="15.75" x14ac:dyDescent="0.25">
      <c r="A18" s="275"/>
      <c r="B18" s="278"/>
      <c r="C18" s="306"/>
      <c r="D18" s="305"/>
      <c r="E18" s="274">
        <f t="shared" si="0"/>
        <v>0</v>
      </c>
    </row>
    <row r="19" spans="1:5" ht="15.75" x14ac:dyDescent="0.25">
      <c r="A19" s="275"/>
      <c r="B19" s="278"/>
      <c r="C19" s="306"/>
      <c r="D19" s="305"/>
      <c r="E19" s="274">
        <f t="shared" si="0"/>
        <v>0</v>
      </c>
    </row>
    <row r="20" spans="1:5" ht="15.75" x14ac:dyDescent="0.25">
      <c r="A20" s="275"/>
      <c r="B20" s="278"/>
      <c r="C20" s="306"/>
      <c r="D20" s="305"/>
      <c r="E20" s="274">
        <f t="shared" si="0"/>
        <v>0</v>
      </c>
    </row>
    <row r="21" spans="1:5" ht="15.75" x14ac:dyDescent="0.25">
      <c r="A21" s="275"/>
      <c r="B21" s="278"/>
      <c r="C21" s="306"/>
      <c r="D21" s="307"/>
      <c r="E21" s="274">
        <f t="shared" si="0"/>
        <v>0</v>
      </c>
    </row>
    <row r="22" spans="1:5" ht="15.75" x14ac:dyDescent="0.25">
      <c r="A22" s="275"/>
      <c r="B22" s="278"/>
      <c r="C22" s="306"/>
      <c r="D22" s="307"/>
      <c r="E22" s="274">
        <f t="shared" si="0"/>
        <v>0</v>
      </c>
    </row>
    <row r="23" spans="1:5" ht="15.75" x14ac:dyDescent="0.25">
      <c r="A23" s="275"/>
      <c r="B23" s="278"/>
      <c r="C23" s="306"/>
      <c r="D23" s="307"/>
      <c r="E23" s="274">
        <f t="shared" si="0"/>
        <v>0</v>
      </c>
    </row>
    <row r="24" spans="1:5" ht="15.75" x14ac:dyDescent="0.25">
      <c r="A24" s="275"/>
      <c r="B24" s="278"/>
      <c r="C24" s="306"/>
      <c r="D24" s="307"/>
      <c r="E24" s="274">
        <f t="shared" si="0"/>
        <v>0</v>
      </c>
    </row>
    <row r="25" spans="1:5" ht="15.75" x14ac:dyDescent="0.25">
      <c r="A25" s="275"/>
      <c r="B25" s="278"/>
      <c r="C25" s="306"/>
      <c r="D25" s="307"/>
      <c r="E25" s="274">
        <f t="shared" si="0"/>
        <v>0</v>
      </c>
    </row>
    <row r="26" spans="1:5" ht="15.75" x14ac:dyDescent="0.25">
      <c r="A26" s="275"/>
      <c r="B26" s="278"/>
      <c r="C26" s="306"/>
      <c r="D26" s="307"/>
      <c r="E26" s="274">
        <f t="shared" si="0"/>
        <v>0</v>
      </c>
    </row>
    <row r="27" spans="1:5" ht="15.75" x14ac:dyDescent="0.25">
      <c r="A27" s="275"/>
      <c r="B27" s="278"/>
      <c r="C27" s="308"/>
      <c r="D27" s="307"/>
      <c r="E27" s="274">
        <f t="shared" si="0"/>
        <v>0</v>
      </c>
    </row>
    <row r="28" spans="1:5" ht="15.75" x14ac:dyDescent="0.25">
      <c r="A28" s="275"/>
      <c r="B28" s="278"/>
      <c r="C28" s="308"/>
      <c r="D28" s="307"/>
      <c r="E28" s="274">
        <f t="shared" si="0"/>
        <v>0</v>
      </c>
    </row>
    <row r="29" spans="1:5" ht="15.75" x14ac:dyDescent="0.25">
      <c r="A29" s="275"/>
      <c r="B29" s="278"/>
      <c r="C29" s="306"/>
      <c r="D29" s="307"/>
      <c r="E29" s="274">
        <f t="shared" si="0"/>
        <v>0</v>
      </c>
    </row>
    <row r="30" spans="1:5" ht="15.75" x14ac:dyDescent="0.25">
      <c r="A30" s="275"/>
      <c r="B30" s="278"/>
      <c r="C30" s="306"/>
      <c r="D30" s="307"/>
      <c r="E30" s="274">
        <f t="shared" si="0"/>
        <v>0</v>
      </c>
    </row>
    <row r="31" spans="1:5" ht="15.75" x14ac:dyDescent="0.25">
      <c r="A31" s="275"/>
      <c r="B31" s="278"/>
      <c r="C31" s="260"/>
      <c r="D31" s="274"/>
      <c r="E31" s="274">
        <f t="shared" si="0"/>
        <v>0</v>
      </c>
    </row>
    <row r="32" spans="1:5" ht="15.75" x14ac:dyDescent="0.25">
      <c r="A32" s="275"/>
      <c r="B32" s="278"/>
      <c r="C32" s="276"/>
      <c r="D32" s="274"/>
      <c r="E32" s="274">
        <f t="shared" si="0"/>
        <v>0</v>
      </c>
    </row>
    <row r="33" spans="1:5" ht="15.75" x14ac:dyDescent="0.25">
      <c r="A33" s="275"/>
      <c r="B33" s="278"/>
      <c r="C33" s="306"/>
      <c r="D33" s="307"/>
      <c r="E33" s="274">
        <f t="shared" si="0"/>
        <v>0</v>
      </c>
    </row>
    <row r="34" spans="1:5" ht="15.75" x14ac:dyDescent="0.25">
      <c r="A34" s="275"/>
      <c r="B34" s="278"/>
      <c r="C34" s="306"/>
      <c r="D34" s="307"/>
      <c r="E34" s="274">
        <f t="shared" si="0"/>
        <v>0</v>
      </c>
    </row>
    <row r="35" spans="1:5" ht="15.75" x14ac:dyDescent="0.25">
      <c r="A35" s="275"/>
      <c r="B35" s="278"/>
      <c r="C35" s="276"/>
      <c r="D35" s="274"/>
      <c r="E35" s="274">
        <f t="shared" si="0"/>
        <v>0</v>
      </c>
    </row>
    <row r="36" spans="1:5" ht="15.75" x14ac:dyDescent="0.25">
      <c r="A36" s="278"/>
      <c r="B36" s="261"/>
      <c r="C36" s="279"/>
      <c r="D36" s="309"/>
      <c r="E36" s="274">
        <f t="shared" si="0"/>
        <v>0</v>
      </c>
    </row>
    <row r="37" spans="1:5" ht="15.75" x14ac:dyDescent="0.25">
      <c r="A37" s="278"/>
      <c r="B37" s="261"/>
      <c r="C37" s="279"/>
      <c r="D37" s="309"/>
      <c r="E37" s="274">
        <f t="shared" si="0"/>
        <v>0</v>
      </c>
    </row>
    <row r="38" spans="1:5" ht="15.75" x14ac:dyDescent="0.25">
      <c r="A38" s="278"/>
      <c r="B38" s="261"/>
      <c r="C38" s="279"/>
      <c r="D38" s="309"/>
      <c r="E38" s="274">
        <f t="shared" si="0"/>
        <v>0</v>
      </c>
    </row>
    <row r="39" spans="1:5" ht="15.75" x14ac:dyDescent="0.25">
      <c r="A39" s="278"/>
      <c r="B39" s="261"/>
      <c r="C39" s="299"/>
      <c r="D39" s="274"/>
      <c r="E39" s="274">
        <f t="shared" si="0"/>
        <v>0</v>
      </c>
    </row>
    <row r="40" spans="1:5" ht="15.75" x14ac:dyDescent="0.25">
      <c r="A40" s="301"/>
      <c r="B40" s="310"/>
      <c r="C40" s="311" t="s">
        <v>399</v>
      </c>
      <c r="D40" s="312"/>
      <c r="E40" s="301"/>
    </row>
    <row r="41" spans="1:5" ht="16.5" thickBot="1" x14ac:dyDescent="0.3">
      <c r="A41" s="288"/>
      <c r="B41" s="288"/>
      <c r="C41" s="1176" t="s">
        <v>400</v>
      </c>
      <c r="D41" s="1177"/>
      <c r="E41" s="313">
        <f>SUM(E8:E40)</f>
        <v>0</v>
      </c>
    </row>
    <row r="42" spans="1:5" ht="15.75" thickTop="1" x14ac:dyDescent="0.25">
      <c r="A42" s="288"/>
      <c r="B42" s="288"/>
      <c r="C42" s="288"/>
      <c r="D42" s="314"/>
      <c r="E42" s="288"/>
    </row>
    <row r="43" spans="1:5" ht="15.75" x14ac:dyDescent="0.25">
      <c r="A43" s="316" t="s">
        <v>401</v>
      </c>
      <c r="B43" s="288"/>
      <c r="C43" s="317" t="s">
        <v>368</v>
      </c>
      <c r="D43" s="314"/>
      <c r="E43" s="288"/>
    </row>
    <row r="44" spans="1:5" x14ac:dyDescent="0.25">
      <c r="A44" s="315"/>
      <c r="B44" s="315"/>
      <c r="C44" s="315"/>
      <c r="D44" s="315"/>
      <c r="E44" s="315"/>
    </row>
    <row r="45" spans="1:5" ht="15.75" x14ac:dyDescent="0.25">
      <c r="A45" s="288" t="s">
        <v>402</v>
      </c>
      <c r="B45" s="281"/>
      <c r="C45" s="288"/>
      <c r="D45" s="314"/>
      <c r="E45" s="288"/>
    </row>
    <row r="46" spans="1:5" x14ac:dyDescent="0.25">
      <c r="A46" s="288" t="s">
        <v>403</v>
      </c>
      <c r="D46" s="319"/>
      <c r="E46" s="288"/>
    </row>
    <row r="47" spans="1:5" x14ac:dyDescent="0.25">
      <c r="A47" s="288"/>
      <c r="B47" s="288"/>
      <c r="C47" s="288"/>
      <c r="D47" s="314"/>
      <c r="E47" s="288"/>
    </row>
    <row r="48" spans="1:5" ht="15.75" x14ac:dyDescent="0.25">
      <c r="A48" s="288"/>
      <c r="B48" s="288"/>
      <c r="C48" s="281"/>
      <c r="D48" s="318"/>
      <c r="E48" s="288"/>
    </row>
    <row r="49" spans="1:5" x14ac:dyDescent="0.25">
      <c r="A49" s="288"/>
      <c r="B49" s="288"/>
      <c r="C49" s="288"/>
      <c r="D49" s="314"/>
      <c r="E49" s="288"/>
    </row>
    <row r="50" spans="1:5" ht="15.75" x14ac:dyDescent="0.25">
      <c r="A50" s="288"/>
      <c r="B50" s="281"/>
      <c r="C50" s="288"/>
      <c r="D50" s="314"/>
      <c r="E50" s="288"/>
    </row>
    <row r="51" spans="1:5" x14ac:dyDescent="0.25">
      <c r="A51" s="288"/>
      <c r="D51" s="319"/>
      <c r="E51" s="288"/>
    </row>
  </sheetData>
  <mergeCells count="3">
    <mergeCell ref="A3:B3"/>
    <mergeCell ref="D3:E3"/>
    <mergeCell ref="C41:D41"/>
  </mergeCells>
  <pageMargins left="0.7" right="0.7" top="0.78740157499999996" bottom="0.78740157499999996" header="0.3" footer="0.3"/>
  <pageSetup paperSize="9" fitToWidth="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149F-1E78-40DB-B45C-024FDC29BB4A}">
  <sheetPr>
    <tabColor rgb="FFFFFF00"/>
  </sheetPr>
  <dimension ref="A2:O74"/>
  <sheetViews>
    <sheetView showGridLines="0" showZeros="0" zoomScaleNormal="100" workbookViewId="0">
      <selection activeCell="K22" sqref="K22"/>
    </sheetView>
  </sheetViews>
  <sheetFormatPr baseColWidth="10" defaultColWidth="11.5703125" defaultRowHeight="12.75" x14ac:dyDescent="0.2"/>
  <cols>
    <col min="1" max="1" width="4.7109375" style="331" customWidth="1"/>
    <col min="2" max="2" width="11.5703125" style="331" customWidth="1"/>
    <col min="3" max="3" width="16.28515625" style="331" customWidth="1"/>
    <col min="4" max="4" width="9.7109375" style="331" customWidth="1"/>
    <col min="5" max="5" width="32.7109375" style="331" customWidth="1"/>
    <col min="6" max="6" width="7" style="331" customWidth="1"/>
    <col min="7" max="7" width="8.28515625" style="331" customWidth="1"/>
    <col min="8" max="8" width="5" style="331" customWidth="1"/>
    <col min="9" max="9" width="5.42578125" style="331" customWidth="1"/>
    <col min="10" max="10" width="8.140625" style="331" customWidth="1"/>
    <col min="11" max="11" width="16.85546875" style="331" customWidth="1"/>
    <col min="12" max="12" width="5.140625" style="331" customWidth="1"/>
    <col min="13" max="13" width="99.5703125" style="618" customWidth="1"/>
    <col min="14" max="16384" width="11.5703125" style="331"/>
  </cols>
  <sheetData>
    <row r="2" spans="1:13" ht="14.45" customHeight="1" x14ac:dyDescent="0.25">
      <c r="A2" s="1266" t="s">
        <v>580</v>
      </c>
      <c r="B2" s="1266"/>
      <c r="C2" s="872"/>
      <c r="D2" s="872"/>
      <c r="E2" s="872"/>
    </row>
    <row r="3" spans="1:13" ht="14.45" customHeight="1" x14ac:dyDescent="0.2">
      <c r="A3" s="1267" t="s">
        <v>1</v>
      </c>
      <c r="B3" s="1267"/>
      <c r="C3" s="1268"/>
      <c r="D3" s="1290">
        <f>Formalien!$E$3</f>
      </c>
      <c r="E3" s="1269"/>
      <c r="F3" s="1269"/>
      <c r="G3" s="1269"/>
      <c r="H3" s="1270" t="s">
        <v>579</v>
      </c>
      <c r="I3" s="959"/>
      <c r="J3" s="959"/>
      <c r="K3" s="959"/>
    </row>
    <row r="4" spans="1:13" ht="14.45" customHeight="1" x14ac:dyDescent="0.25">
      <c r="A4" s="1271" t="s">
        <v>578</v>
      </c>
      <c r="B4" s="1271"/>
      <c r="C4" s="1210"/>
      <c r="D4" s="1272">
        <f>Formalien!$E$6</f>
      </c>
      <c r="E4" s="1272"/>
      <c r="F4" s="1272"/>
      <c r="G4" s="1273">
        <f>IF(Formalien!$E$5="",Formalien!$E$4,Formalien!$E$4&amp;" / "&amp;Formalien!$E$5)</f>
      </c>
      <c r="H4" s="958"/>
      <c r="I4" s="958"/>
      <c r="J4" s="958"/>
      <c r="K4" s="958"/>
    </row>
    <row r="5" spans="1:13" s="338" customFormat="1" ht="14.45" customHeight="1" thickBot="1" x14ac:dyDescent="0.25">
      <c r="A5" s="1247"/>
      <c r="B5" s="1247"/>
      <c r="C5" s="1248"/>
      <c r="D5" s="1248"/>
      <c r="E5" s="1248"/>
      <c r="F5" s="1248"/>
      <c r="G5" s="1248"/>
      <c r="H5" s="1248"/>
      <c r="I5" s="1248"/>
      <c r="J5" s="1248"/>
      <c r="K5" s="1248"/>
      <c r="M5" s="621"/>
    </row>
    <row r="6" spans="1:13" s="338" customFormat="1" ht="14.45" customHeight="1" x14ac:dyDescent="0.2">
      <c r="A6" s="368"/>
      <c r="B6" s="368"/>
      <c r="C6" s="331"/>
      <c r="D6" s="331"/>
      <c r="E6" s="331"/>
      <c r="F6" s="331"/>
      <c r="G6" s="331"/>
      <c r="H6" s="331"/>
      <c r="I6" s="331"/>
      <c r="J6" s="331"/>
      <c r="K6" s="331"/>
      <c r="M6" s="621"/>
    </row>
    <row r="7" spans="1:13" s="338" customFormat="1" ht="14.45" customHeight="1" x14ac:dyDescent="0.25">
      <c r="A7" s="717" t="s">
        <v>637</v>
      </c>
      <c r="B7" s="717"/>
      <c r="C7" s="718"/>
      <c r="D7" s="718"/>
      <c r="E7" s="718"/>
      <c r="F7" s="718"/>
      <c r="G7" s="718"/>
      <c r="H7" s="718"/>
      <c r="I7" s="331"/>
      <c r="J7" s="331"/>
      <c r="K7" s="331"/>
      <c r="M7" s="621"/>
    </row>
    <row r="8" spans="1:13" s="338" customFormat="1" ht="14.45" customHeight="1" x14ac:dyDescent="0.25">
      <c r="A8" s="717" t="s">
        <v>638</v>
      </c>
      <c r="B8" s="717"/>
      <c r="C8" s="718"/>
      <c r="D8" s="718"/>
      <c r="E8" s="718"/>
      <c r="F8" s="718"/>
      <c r="G8" s="718"/>
      <c r="H8" s="718"/>
      <c r="I8" s="331"/>
      <c r="J8" s="331"/>
      <c r="K8" s="331"/>
      <c r="M8" s="621"/>
    </row>
    <row r="9" spans="1:13" s="329" customFormat="1" ht="14.45" customHeight="1" thickBot="1" x14ac:dyDescent="0.3">
      <c r="A9" s="1249"/>
      <c r="B9" s="1249"/>
      <c r="C9" s="1249"/>
      <c r="D9" s="1249"/>
      <c r="E9" s="1249"/>
      <c r="F9" s="1249"/>
      <c r="G9" s="1249"/>
      <c r="H9" s="1249"/>
      <c r="I9" s="1249"/>
      <c r="J9" s="1249"/>
      <c r="K9" s="1249"/>
      <c r="M9" s="697"/>
    </row>
    <row r="10" spans="1:13" ht="18" customHeight="1" thickBot="1" x14ac:dyDescent="0.3">
      <c r="A10" s="1230" t="s">
        <v>583</v>
      </c>
      <c r="B10" s="1231"/>
      <c r="C10" s="1232"/>
      <c r="D10" s="1232"/>
      <c r="E10" s="1232"/>
      <c r="F10" s="1232"/>
      <c r="G10" s="1233"/>
      <c r="H10" s="346"/>
      <c r="I10" s="346"/>
      <c r="J10" s="346"/>
      <c r="K10" s="346"/>
    </row>
    <row r="11" spans="1:13" ht="18" customHeight="1" thickBot="1" x14ac:dyDescent="0.3">
      <c r="A11" s="343"/>
      <c r="B11" s="1250" t="s">
        <v>449</v>
      </c>
      <c r="C11" s="1251"/>
      <c r="D11" s="1251"/>
      <c r="E11" s="1251"/>
      <c r="F11" s="719" t="s">
        <v>390</v>
      </c>
      <c r="G11" s="714" t="s">
        <v>447</v>
      </c>
      <c r="H11" s="1252" t="s">
        <v>433</v>
      </c>
      <c r="I11" s="1253"/>
      <c r="J11" s="715" t="s">
        <v>568</v>
      </c>
      <c r="K11" s="716" t="s">
        <v>448</v>
      </c>
      <c r="L11" s="623"/>
      <c r="M11" s="698" t="s">
        <v>608</v>
      </c>
    </row>
    <row r="12" spans="1:13" ht="16.899999999999999" customHeight="1" thickBot="1" x14ac:dyDescent="0.3">
      <c r="A12" s="720" t="s">
        <v>73</v>
      </c>
      <c r="B12" s="1254" t="s">
        <v>635</v>
      </c>
      <c r="C12" s="1255"/>
      <c r="D12" s="1255"/>
      <c r="E12" s="1256"/>
      <c r="F12" s="707">
        <v>1</v>
      </c>
      <c r="G12" s="707"/>
      <c r="H12" s="1257">
        <v>150</v>
      </c>
      <c r="I12" s="1258"/>
      <c r="J12" s="721">
        <v>1</v>
      </c>
      <c r="K12" s="722">
        <f>(F12*H12*J12)</f>
      </c>
      <c r="M12" s="661" t="s">
        <v>587</v>
      </c>
    </row>
    <row r="13" spans="1:13" ht="16.899999999999999" customHeight="1" thickBot="1" x14ac:dyDescent="0.3">
      <c r="A13" s="720"/>
      <c r="B13" s="708" t="s">
        <v>636</v>
      </c>
      <c r="C13" s="709"/>
      <c r="D13" s="710"/>
      <c r="E13" s="711"/>
      <c r="F13" s="712"/>
      <c r="G13" s="712"/>
      <c r="H13" s="1259"/>
      <c r="I13" s="1260"/>
      <c r="J13" s="723">
        <v>1</v>
      </c>
      <c r="K13" s="724">
        <f t="shared" ref="K13:K23" si="0">(F13*H13*J13)</f>
      </c>
      <c r="M13" s="662" t="s">
        <v>584</v>
      </c>
    </row>
    <row r="14" spans="1:13" ht="16.899999999999999" customHeight="1" x14ac:dyDescent="0.25">
      <c r="A14" s="649" t="s">
        <v>81</v>
      </c>
      <c r="B14" s="1261"/>
      <c r="C14" s="1262"/>
      <c r="D14" s="1262"/>
      <c r="E14" s="1263"/>
      <c r="F14" s="713">
        <v>1</v>
      </c>
      <c r="G14" s="713"/>
      <c r="H14" s="1264"/>
      <c r="I14" s="1265"/>
      <c r="J14" s="725">
        <v>1</v>
      </c>
      <c r="K14" s="726">
        <f t="shared" si="0"/>
      </c>
      <c r="M14" s="662" t="s">
        <v>585</v>
      </c>
    </row>
    <row r="15" spans="1:13" ht="16.899999999999999" customHeight="1" x14ac:dyDescent="0.25">
      <c r="A15" s="649" t="s">
        <v>90</v>
      </c>
      <c r="B15" s="1238"/>
      <c r="C15" s="1239"/>
      <c r="D15" s="1239"/>
      <c r="E15" s="1240"/>
      <c r="F15" s="649">
        <v>1</v>
      </c>
      <c r="G15" s="649"/>
      <c r="H15" s="1243"/>
      <c r="I15" s="1244"/>
      <c r="J15" s="727">
        <v>1</v>
      </c>
      <c r="K15" s="728">
        <f t="shared" si="0"/>
      </c>
      <c r="M15" s="662" t="s">
        <v>589</v>
      </c>
    </row>
    <row r="16" spans="1:13" ht="16.899999999999999" customHeight="1" x14ac:dyDescent="0.25">
      <c r="A16" s="649" t="s">
        <v>93</v>
      </c>
      <c r="B16" s="1238"/>
      <c r="C16" s="1239"/>
      <c r="D16" s="1239"/>
      <c r="E16" s="1240"/>
      <c r="F16" s="649">
        <v>1</v>
      </c>
      <c r="G16" s="649"/>
      <c r="H16" s="1243"/>
      <c r="I16" s="1244"/>
      <c r="J16" s="727">
        <v>1</v>
      </c>
      <c r="K16" s="728">
        <f t="shared" si="0"/>
      </c>
      <c r="M16" s="664" t="s">
        <v>593</v>
      </c>
    </row>
    <row r="17" spans="1:15" ht="16.899999999999999" customHeight="1" x14ac:dyDescent="0.25">
      <c r="A17" s="649" t="s">
        <v>98</v>
      </c>
      <c r="B17" s="1238"/>
      <c r="C17" s="1239"/>
      <c r="D17" s="1239"/>
      <c r="E17" s="1240"/>
      <c r="F17" s="649">
        <v>1</v>
      </c>
      <c r="G17" s="649"/>
      <c r="H17" s="1243"/>
      <c r="I17" s="1244"/>
      <c r="J17" s="727">
        <v>1</v>
      </c>
      <c r="K17" s="728">
        <f t="shared" si="0"/>
      </c>
      <c r="M17" s="702" t="s">
        <v>604</v>
      </c>
    </row>
    <row r="18" spans="1:15" ht="16.899999999999999" customHeight="1" x14ac:dyDescent="0.25">
      <c r="A18" s="649" t="s">
        <v>101</v>
      </c>
      <c r="B18" s="1238"/>
      <c r="C18" s="1239"/>
      <c r="D18" s="1239"/>
      <c r="E18" s="1240"/>
      <c r="F18" s="649">
        <v>1</v>
      </c>
      <c r="G18" s="649"/>
      <c r="H18" s="1243"/>
      <c r="I18" s="1244"/>
      <c r="J18" s="727">
        <v>1</v>
      </c>
      <c r="K18" s="728">
        <f t="shared" si="0"/>
      </c>
      <c r="M18" s="702" t="s">
        <v>605</v>
      </c>
    </row>
    <row r="19" spans="1:15" ht="16.899999999999999" customHeight="1" x14ac:dyDescent="0.25">
      <c r="A19" s="649" t="s">
        <v>609</v>
      </c>
      <c r="B19" s="699"/>
      <c r="C19" s="700"/>
      <c r="D19" s="700"/>
      <c r="E19" s="701"/>
      <c r="F19" s="649">
        <v>1</v>
      </c>
      <c r="G19" s="649"/>
      <c r="H19" s="1245"/>
      <c r="I19" s="1246"/>
      <c r="J19" s="727">
        <v>1</v>
      </c>
      <c r="K19" s="728">
        <f t="shared" si="0"/>
      </c>
      <c r="M19" s="702"/>
    </row>
    <row r="20" spans="1:15" ht="16.899999999999999" customHeight="1" x14ac:dyDescent="0.25">
      <c r="A20" s="649" t="s">
        <v>610</v>
      </c>
      <c r="B20" s="1238"/>
      <c r="C20" s="1239"/>
      <c r="D20" s="1239"/>
      <c r="E20" s="1240"/>
      <c r="F20" s="649">
        <v>1</v>
      </c>
      <c r="G20" s="649"/>
      <c r="H20" s="1243"/>
      <c r="I20" s="1244"/>
      <c r="J20" s="727">
        <v>1</v>
      </c>
      <c r="K20" s="728">
        <f t="shared" si="0"/>
      </c>
      <c r="M20" s="702" t="s">
        <v>606</v>
      </c>
    </row>
    <row r="21" spans="1:15" ht="16.899999999999999" customHeight="1" x14ac:dyDescent="0.25">
      <c r="A21" s="649" t="s">
        <v>103</v>
      </c>
      <c r="B21" s="1238"/>
      <c r="C21" s="1239"/>
      <c r="D21" s="1239"/>
      <c r="E21" s="1240"/>
      <c r="F21" s="649">
        <v>1</v>
      </c>
      <c r="G21" s="649"/>
      <c r="H21" s="1245"/>
      <c r="I21" s="1246"/>
      <c r="J21" s="727">
        <v>1</v>
      </c>
      <c r="K21" s="728"/>
      <c r="M21" s="702" t="s">
        <v>590</v>
      </c>
    </row>
    <row r="22" spans="1:15" ht="16.899999999999999" customHeight="1" x14ac:dyDescent="0.25">
      <c r="A22" s="649" t="s">
        <v>105</v>
      </c>
      <c r="B22" s="1238"/>
      <c r="C22" s="1239"/>
      <c r="D22" s="1239"/>
      <c r="E22" s="1240"/>
      <c r="F22" s="729"/>
      <c r="G22" s="649"/>
      <c r="H22" s="1243"/>
      <c r="I22" s="1244"/>
      <c r="J22" s="727"/>
      <c r="K22" s="728">
        <f t="shared" si="0"/>
      </c>
      <c r="M22" s="662" t="s">
        <v>586</v>
      </c>
    </row>
    <row r="23" spans="1:15" ht="16.899999999999999" customHeight="1" thickBot="1" x14ac:dyDescent="0.3">
      <c r="A23" s="649" t="s">
        <v>109</v>
      </c>
      <c r="B23" s="730"/>
      <c r="C23" s="700"/>
      <c r="D23" s="700"/>
      <c r="E23" s="731"/>
      <c r="F23" s="649"/>
      <c r="G23" s="732"/>
      <c r="H23" s="1243"/>
      <c r="I23" s="1244"/>
      <c r="J23" s="727"/>
      <c r="K23" s="724">
        <f t="shared" si="0"/>
      </c>
      <c r="M23" s="702" t="s">
        <v>591</v>
      </c>
    </row>
    <row r="24" spans="1:15" ht="16.899999999999999" customHeight="1" thickBot="1" x14ac:dyDescent="0.3">
      <c r="A24" s="649" t="s">
        <v>611</v>
      </c>
      <c r="B24" s="1238"/>
      <c r="C24" s="1239"/>
      <c r="D24" s="1239"/>
      <c r="E24" s="1240"/>
      <c r="F24" s="648"/>
      <c r="G24" s="1241" t="s">
        <v>639</v>
      </c>
      <c r="H24" s="1242"/>
      <c r="I24" s="1242"/>
      <c r="J24" s="1242"/>
      <c r="K24" s="733">
        <f>SUM(K12:K23)</f>
      </c>
      <c r="M24" s="655" t="s">
        <v>592</v>
      </c>
    </row>
    <row r="25" spans="1:15" ht="18" customHeight="1" thickBot="1" x14ac:dyDescent="0.3">
      <c r="A25" s="1216" t="s">
        <v>569</v>
      </c>
      <c r="B25" s="1217"/>
      <c r="C25" s="1218"/>
      <c r="D25" s="1218"/>
      <c r="E25" s="1219"/>
      <c r="F25" s="834"/>
      <c r="G25" s="834"/>
      <c r="H25" s="834"/>
      <c r="I25" s="834"/>
      <c r="J25" s="834"/>
      <c r="K25" s="1220"/>
      <c r="M25" s="663" t="s">
        <v>588</v>
      </c>
      <c r="O25" s="627"/>
    </row>
    <row r="26" spans="1:15" ht="18" customHeight="1" x14ac:dyDescent="0.2">
      <c r="A26" s="1221" t="s">
        <v>608</v>
      </c>
      <c r="B26" s="1222"/>
      <c r="C26" s="1194"/>
      <c r="D26" s="1194"/>
      <c r="E26" s="1194"/>
      <c r="F26" s="1194"/>
      <c r="G26" s="1194"/>
      <c r="H26" s="1194"/>
      <c r="I26" s="1194"/>
      <c r="J26" s="1194"/>
      <c r="K26" s="1195"/>
      <c r="O26" s="413"/>
    </row>
    <row r="27" spans="1:15" ht="16.899999999999999" customHeight="1" x14ac:dyDescent="0.2">
      <c r="A27" s="1223"/>
      <c r="B27" s="1224"/>
      <c r="C27" s="1180"/>
      <c r="D27" s="1180"/>
      <c r="E27" s="1180"/>
      <c r="F27" s="1180"/>
      <c r="G27" s="1180"/>
      <c r="H27" s="1180"/>
      <c r="I27" s="1180"/>
      <c r="J27" s="1180"/>
      <c r="K27" s="1181"/>
    </row>
    <row r="28" spans="1:15" ht="16.899999999999999" customHeight="1" x14ac:dyDescent="0.2">
      <c r="A28" s="1225"/>
      <c r="B28" s="1226"/>
      <c r="C28" s="1226"/>
      <c r="D28" s="1226"/>
      <c r="E28" s="1226"/>
      <c r="F28" s="1226"/>
      <c r="G28" s="1226"/>
      <c r="H28" s="1226"/>
      <c r="I28" s="1226"/>
      <c r="J28" s="1226"/>
      <c r="K28" s="1227"/>
    </row>
    <row r="29" spans="1:15" ht="16.899999999999999" customHeight="1" x14ac:dyDescent="0.2">
      <c r="A29" s="1223"/>
      <c r="B29" s="1224"/>
      <c r="C29" s="1180"/>
      <c r="D29" s="1180"/>
      <c r="E29" s="1180"/>
      <c r="F29" s="1180"/>
      <c r="G29" s="1180"/>
      <c r="H29" s="1180"/>
      <c r="I29" s="1180"/>
      <c r="J29" s="1180"/>
      <c r="K29" s="1181"/>
      <c r="M29" s="664" t="s">
        <v>598</v>
      </c>
    </row>
    <row r="30" spans="1:15" ht="16.899999999999999" customHeight="1" x14ac:dyDescent="0.2">
      <c r="A30" s="1223"/>
      <c r="B30" s="1224"/>
      <c r="C30" s="1180"/>
      <c r="D30" s="1180"/>
      <c r="E30" s="1180"/>
      <c r="F30" s="1180"/>
      <c r="G30" s="1180"/>
      <c r="H30" s="1180"/>
      <c r="I30" s="1180"/>
      <c r="J30" s="1180"/>
      <c r="K30" s="1181"/>
      <c r="M30" s="664" t="s">
        <v>595</v>
      </c>
    </row>
    <row r="31" spans="1:15" ht="16.899999999999999" customHeight="1" thickBot="1" x14ac:dyDescent="0.25">
      <c r="A31" s="1228"/>
      <c r="B31" s="1229"/>
      <c r="C31" s="1187"/>
      <c r="D31" s="1187"/>
      <c r="E31" s="1187"/>
      <c r="F31" s="1187"/>
      <c r="G31" s="1187"/>
      <c r="H31" s="1187"/>
      <c r="I31" s="1187"/>
      <c r="J31" s="1187"/>
      <c r="K31" s="1188"/>
      <c r="M31" s="665"/>
    </row>
    <row r="32" spans="1:15" ht="18" customHeight="1" thickBot="1" x14ac:dyDescent="0.3">
      <c r="A32" s="1230" t="s">
        <v>571</v>
      </c>
      <c r="B32" s="1231"/>
      <c r="C32" s="1232"/>
      <c r="D32" s="1232"/>
      <c r="E32" s="1232"/>
      <c r="F32" s="1232"/>
      <c r="G32" s="1233"/>
      <c r="H32" s="625"/>
      <c r="I32" s="625"/>
      <c r="J32" s="625"/>
      <c r="K32" s="625"/>
      <c r="M32" s="664" t="s">
        <v>597</v>
      </c>
    </row>
    <row r="33" spans="1:14" ht="18" customHeight="1" thickBot="1" x14ac:dyDescent="0.25">
      <c r="A33" s="734"/>
      <c r="B33" s="1234"/>
      <c r="C33" s="1235"/>
      <c r="D33" s="1235"/>
      <c r="E33" s="1235"/>
      <c r="F33" s="735" t="s">
        <v>390</v>
      </c>
      <c r="G33" s="736" t="s">
        <v>447</v>
      </c>
      <c r="H33" s="1236" t="s">
        <v>433</v>
      </c>
      <c r="I33" s="1237"/>
      <c r="J33" s="737" t="s">
        <v>568</v>
      </c>
      <c r="K33" s="738" t="s">
        <v>448</v>
      </c>
      <c r="M33" s="664" t="s">
        <v>596</v>
      </c>
    </row>
    <row r="34" spans="1:14" ht="16.899999999999999" customHeight="1" x14ac:dyDescent="0.25">
      <c r="A34" s="739" t="s">
        <v>73</v>
      </c>
      <c r="B34" s="1211"/>
      <c r="C34" s="1212"/>
      <c r="D34" s="1212"/>
      <c r="E34" s="1213"/>
      <c r="F34" s="740"/>
      <c r="G34" s="713"/>
      <c r="H34" s="1214"/>
      <c r="I34" s="1215"/>
      <c r="J34" s="725">
        <v>1</v>
      </c>
      <c r="K34" s="741">
        <f>(F34*H34*J34)</f>
      </c>
      <c r="M34" s="664" t="s">
        <v>593</v>
      </c>
    </row>
    <row r="35" spans="1:14" ht="16.899999999999999" customHeight="1" x14ac:dyDescent="0.25">
      <c r="A35" s="742" t="s">
        <v>81</v>
      </c>
      <c r="B35" s="1196"/>
      <c r="C35" s="1197"/>
      <c r="D35" s="1197"/>
      <c r="E35" s="1198"/>
      <c r="F35" s="729"/>
      <c r="G35" s="649"/>
      <c r="H35" s="1199"/>
      <c r="I35" s="1200"/>
      <c r="J35" s="727">
        <v>1</v>
      </c>
      <c r="K35" s="743">
        <f t="shared" ref="K35:K44" si="1">(F35*H35*J35)</f>
      </c>
      <c r="M35" s="664" t="s">
        <v>601</v>
      </c>
    </row>
    <row r="36" spans="1:14" ht="16.899999999999999" customHeight="1" x14ac:dyDescent="0.25">
      <c r="A36" s="742" t="s">
        <v>90</v>
      </c>
      <c r="B36" s="1196"/>
      <c r="C36" s="1197"/>
      <c r="D36" s="1197"/>
      <c r="E36" s="1198"/>
      <c r="F36" s="729"/>
      <c r="G36" s="649"/>
      <c r="H36" s="1199"/>
      <c r="I36" s="1200"/>
      <c r="J36" s="727">
        <v>1</v>
      </c>
      <c r="K36" s="743">
        <f t="shared" si="1"/>
      </c>
      <c r="M36" s="665" t="s">
        <v>607</v>
      </c>
    </row>
    <row r="37" spans="1:14" ht="16.899999999999999" customHeight="1" x14ac:dyDescent="0.25">
      <c r="A37" s="742" t="s">
        <v>93</v>
      </c>
      <c r="B37" s="1196"/>
      <c r="C37" s="1197"/>
      <c r="D37" s="1197"/>
      <c r="E37" s="1198"/>
      <c r="F37" s="729"/>
      <c r="G37" s="649"/>
      <c r="H37" s="1199"/>
      <c r="I37" s="1200"/>
      <c r="J37" s="727">
        <v>1</v>
      </c>
      <c r="K37" s="743">
        <f t="shared" si="1"/>
      </c>
      <c r="L37" s="623"/>
      <c r="M37" s="664" t="s">
        <v>602</v>
      </c>
    </row>
    <row r="38" spans="1:14" ht="16.899999999999999" customHeight="1" x14ac:dyDescent="0.25">
      <c r="A38" s="742" t="s">
        <v>98</v>
      </c>
      <c r="B38" s="1196"/>
      <c r="C38" s="1197"/>
      <c r="D38" s="1197"/>
      <c r="E38" s="1198"/>
      <c r="F38" s="729"/>
      <c r="G38" s="649"/>
      <c r="H38" s="1199"/>
      <c r="I38" s="1200"/>
      <c r="J38" s="727">
        <v>1</v>
      </c>
      <c r="K38" s="743">
        <f t="shared" si="1"/>
      </c>
      <c r="M38" s="664" t="s">
        <v>599</v>
      </c>
      <c r="N38" s="624">
        <v>1</v>
      </c>
    </row>
    <row r="39" spans="1:14" ht="16.899999999999999" customHeight="1" x14ac:dyDescent="0.25">
      <c r="A39" s="742" t="s">
        <v>101</v>
      </c>
      <c r="B39" s="1196"/>
      <c r="C39" s="1197"/>
      <c r="D39" s="1197"/>
      <c r="E39" s="1198"/>
      <c r="F39" s="729"/>
      <c r="G39" s="649"/>
      <c r="H39" s="1199"/>
      <c r="I39" s="1200"/>
      <c r="J39" s="727">
        <v>1</v>
      </c>
      <c r="K39" s="743">
        <f t="shared" si="1"/>
      </c>
      <c r="M39" s="664" t="s">
        <v>594</v>
      </c>
    </row>
    <row r="40" spans="1:14" ht="16.899999999999999" customHeight="1" x14ac:dyDescent="0.25">
      <c r="A40" s="742" t="s">
        <v>609</v>
      </c>
      <c r="B40" s="1196"/>
      <c r="C40" s="1197"/>
      <c r="D40" s="1197"/>
      <c r="E40" s="1198"/>
      <c r="F40" s="729"/>
      <c r="G40" s="649"/>
      <c r="H40" s="1199"/>
      <c r="I40" s="1200"/>
      <c r="J40" s="727">
        <v>1</v>
      </c>
      <c r="K40" s="743">
        <f t="shared" si="1"/>
      </c>
      <c r="M40" s="664" t="s">
        <v>600</v>
      </c>
    </row>
    <row r="41" spans="1:14" ht="16.899999999999999" customHeight="1" x14ac:dyDescent="0.25">
      <c r="A41" s="742" t="s">
        <v>610</v>
      </c>
      <c r="B41" s="1196"/>
      <c r="C41" s="1197"/>
      <c r="D41" s="1197"/>
      <c r="E41" s="1198"/>
      <c r="F41" s="729"/>
      <c r="G41" s="649"/>
      <c r="H41" s="1199"/>
      <c r="I41" s="1200"/>
      <c r="J41" s="727">
        <v>1</v>
      </c>
      <c r="K41" s="743">
        <f t="shared" si="1"/>
      </c>
      <c r="M41" s="664" t="s">
        <v>603</v>
      </c>
    </row>
    <row r="42" spans="1:14" ht="16.899999999999999" customHeight="1" x14ac:dyDescent="0.25">
      <c r="A42" s="742" t="s">
        <v>103</v>
      </c>
      <c r="B42" s="1196"/>
      <c r="C42" s="1197"/>
      <c r="D42" s="1197"/>
      <c r="E42" s="1198"/>
      <c r="F42" s="729"/>
      <c r="G42" s="649"/>
      <c r="H42" s="1199"/>
      <c r="I42" s="1200"/>
      <c r="J42" s="727">
        <v>1</v>
      </c>
      <c r="K42" s="743">
        <f t="shared" si="1"/>
      </c>
    </row>
    <row r="43" spans="1:14" ht="16.899999999999999" customHeight="1" x14ac:dyDescent="0.25">
      <c r="A43" s="742" t="s">
        <v>103</v>
      </c>
      <c r="B43" s="1196"/>
      <c r="C43" s="1197"/>
      <c r="D43" s="1197"/>
      <c r="E43" s="1198"/>
      <c r="F43" s="729"/>
      <c r="G43" s="649"/>
      <c r="H43" s="1199"/>
      <c r="I43" s="1200"/>
      <c r="J43" s="727">
        <v>1</v>
      </c>
      <c r="K43" s="743">
        <f t="shared" si="1"/>
      </c>
    </row>
    <row r="44" spans="1:14" ht="16.899999999999999" customHeight="1" thickBot="1" x14ac:dyDescent="0.3">
      <c r="A44" s="744" t="s">
        <v>105</v>
      </c>
      <c r="B44" s="1201"/>
      <c r="C44" s="1202"/>
      <c r="D44" s="1202"/>
      <c r="E44" s="1203"/>
      <c r="F44" s="729"/>
      <c r="G44" s="649"/>
      <c r="H44" s="1199"/>
      <c r="I44" s="1200"/>
      <c r="J44" s="745">
        <v>1</v>
      </c>
      <c r="K44" s="746">
        <f t="shared" si="1"/>
      </c>
    </row>
    <row r="45" spans="1:14" ht="16.899999999999999" customHeight="1" thickBot="1" x14ac:dyDescent="0.3">
      <c r="A45" s="193"/>
      <c r="B45" s="747"/>
      <c r="C45" s="615"/>
      <c r="D45" s="615"/>
      <c r="E45" s="615"/>
      <c r="F45" s="748"/>
      <c r="G45" s="748"/>
      <c r="H45" s="749"/>
      <c r="I45" s="750"/>
      <c r="J45" s="751" t="s">
        <v>639</v>
      </c>
      <c r="K45" s="752">
        <f>SUM(K34:K44)</f>
      </c>
    </row>
    <row r="46" spans="1:14" ht="16.899999999999999" customHeight="1" x14ac:dyDescent="0.25">
      <c r="A46" s="753" t="s">
        <v>640</v>
      </c>
      <c r="B46" s="754"/>
      <c r="C46" s="755"/>
      <c r="D46" s="755"/>
      <c r="E46" s="755"/>
      <c r="F46" s="756"/>
      <c r="G46" s="756"/>
      <c r="H46" s="757"/>
      <c r="I46" s="758"/>
      <c r="J46" s="756"/>
      <c r="K46" s="759"/>
    </row>
    <row r="47" spans="1:14" ht="16.899999999999999" customHeight="1" x14ac:dyDescent="0.25">
      <c r="A47" s="760" t="s">
        <v>641</v>
      </c>
      <c r="B47" s="747"/>
      <c r="C47" s="615"/>
      <c r="D47" s="615"/>
      <c r="E47" s="615"/>
      <c r="F47" s="748"/>
      <c r="G47" s="748"/>
      <c r="H47" s="749"/>
      <c r="I47" s="750"/>
      <c r="J47" s="748"/>
      <c r="K47" s="761"/>
    </row>
    <row r="48" spans="1:14" ht="16.899999999999999" customHeight="1" x14ac:dyDescent="0.25">
      <c r="A48" s="762" t="s">
        <v>642</v>
      </c>
      <c r="B48" s="747"/>
      <c r="C48" s="615"/>
      <c r="D48" s="615"/>
      <c r="E48" s="615"/>
      <c r="F48" s="748"/>
      <c r="G48" s="748"/>
      <c r="H48" s="749"/>
      <c r="I48" s="750"/>
      <c r="J48" s="748"/>
      <c r="K48" s="761"/>
    </row>
    <row r="49" spans="1:11" ht="16.899999999999999" customHeight="1" x14ac:dyDescent="0.25">
      <c r="A49" s="762" t="s">
        <v>643</v>
      </c>
      <c r="B49" s="747"/>
      <c r="C49" s="615"/>
      <c r="D49" s="615"/>
      <c r="E49" s="615"/>
      <c r="F49" s="748"/>
      <c r="G49" s="748"/>
      <c r="H49" s="749"/>
      <c r="I49" s="750"/>
      <c r="J49" s="748"/>
      <c r="K49" s="761"/>
    </row>
    <row r="50" spans="1:11" ht="16.899999999999999" customHeight="1" x14ac:dyDescent="0.25">
      <c r="A50" s="762" t="s">
        <v>644</v>
      </c>
      <c r="B50" s="747"/>
      <c r="C50" s="615"/>
      <c r="D50" s="615"/>
      <c r="E50" s="615"/>
      <c r="F50" s="748"/>
      <c r="G50" s="748"/>
      <c r="H50" s="749"/>
      <c r="I50" s="750"/>
      <c r="J50" s="748"/>
      <c r="K50" s="761"/>
    </row>
    <row r="51" spans="1:11" ht="16.899999999999999" customHeight="1" thickBot="1" x14ac:dyDescent="0.3">
      <c r="A51" s="763" t="s">
        <v>645</v>
      </c>
      <c r="B51" s="764"/>
      <c r="C51" s="765"/>
      <c r="D51" s="765"/>
      <c r="E51" s="765"/>
      <c r="F51" s="766"/>
      <c r="G51" s="766"/>
      <c r="H51" s="767"/>
      <c r="I51" s="768"/>
      <c r="J51" s="766"/>
      <c r="K51" s="769"/>
    </row>
    <row r="52" spans="1:11" ht="18" customHeight="1" thickBot="1" x14ac:dyDescent="0.3">
      <c r="A52" s="1204"/>
      <c r="B52" s="1204"/>
      <c r="C52" s="1205"/>
      <c r="D52" s="1205"/>
      <c r="E52" s="1205"/>
      <c r="F52" s="1205"/>
      <c r="G52" s="1205"/>
      <c r="H52" s="1205"/>
      <c r="I52" s="1205"/>
      <c r="J52" s="1205"/>
      <c r="K52" s="770"/>
    </row>
    <row r="53" spans="1:11" ht="18" customHeight="1" thickBot="1" x14ac:dyDescent="0.3">
      <c r="A53" s="1206" t="s">
        <v>569</v>
      </c>
      <c r="B53" s="1207"/>
      <c r="C53" s="1208"/>
      <c r="D53" s="1208"/>
      <c r="E53" s="1209"/>
      <c r="F53" s="1210"/>
      <c r="G53" s="1210"/>
      <c r="H53" s="1210"/>
      <c r="I53" s="1210"/>
      <c r="J53" s="1210"/>
      <c r="K53" s="1210"/>
    </row>
    <row r="54" spans="1:11" ht="18" customHeight="1" x14ac:dyDescent="0.2">
      <c r="A54" s="1192"/>
      <c r="B54" s="1193"/>
      <c r="C54" s="1194"/>
      <c r="D54" s="1194"/>
      <c r="E54" s="1194"/>
      <c r="F54" s="1194"/>
      <c r="G54" s="1194"/>
      <c r="H54" s="1194"/>
      <c r="I54" s="1194"/>
      <c r="J54" s="1194"/>
      <c r="K54" s="1195"/>
    </row>
    <row r="55" spans="1:11" ht="18" customHeight="1" x14ac:dyDescent="0.2">
      <c r="A55" s="1178"/>
      <c r="B55" s="1179"/>
      <c r="C55" s="1180"/>
      <c r="D55" s="1180"/>
      <c r="E55" s="1180"/>
      <c r="F55" s="1180"/>
      <c r="G55" s="1180"/>
      <c r="H55" s="1180"/>
      <c r="I55" s="1180"/>
      <c r="J55" s="1180"/>
      <c r="K55" s="1181"/>
    </row>
    <row r="56" spans="1:11" ht="18" customHeight="1" x14ac:dyDescent="0.2">
      <c r="A56" s="1182"/>
      <c r="B56" s="1183"/>
      <c r="C56" s="1183"/>
      <c r="D56" s="1183"/>
      <c r="E56" s="1183"/>
      <c r="F56" s="1183"/>
      <c r="G56" s="1183"/>
      <c r="H56" s="1183"/>
      <c r="I56" s="1183"/>
      <c r="J56" s="1183"/>
      <c r="K56" s="1184"/>
    </row>
    <row r="57" spans="1:11" ht="18" customHeight="1" x14ac:dyDescent="0.2">
      <c r="A57" s="1178"/>
      <c r="B57" s="1179"/>
      <c r="C57" s="1180"/>
      <c r="D57" s="1180"/>
      <c r="E57" s="1180"/>
      <c r="F57" s="1180"/>
      <c r="G57" s="1180"/>
      <c r="H57" s="1180"/>
      <c r="I57" s="1180"/>
      <c r="J57" s="1180"/>
      <c r="K57" s="1181"/>
    </row>
    <row r="58" spans="1:11" ht="18.600000000000001" customHeight="1" thickBot="1" x14ac:dyDescent="0.25">
      <c r="A58" s="1185"/>
      <c r="B58" s="1186"/>
      <c r="C58" s="1187"/>
      <c r="D58" s="1187"/>
      <c r="E58" s="1187"/>
      <c r="F58" s="1187"/>
      <c r="G58" s="1187"/>
      <c r="H58" s="1187"/>
      <c r="I58" s="1187"/>
      <c r="J58" s="1187"/>
      <c r="K58" s="1188"/>
    </row>
    <row r="59" spans="1:11" ht="18" customHeight="1" x14ac:dyDescent="0.2">
      <c r="A59" s="771"/>
      <c r="B59" s="771"/>
      <c r="C59" s="625"/>
      <c r="D59" s="625"/>
      <c r="E59" s="625"/>
      <c r="F59" s="625"/>
      <c r="G59" s="625"/>
      <c r="H59" s="625"/>
      <c r="I59" s="625"/>
      <c r="J59" s="625"/>
      <c r="K59" s="625"/>
    </row>
    <row r="60" spans="1:11" ht="18" customHeight="1" x14ac:dyDescent="0.25">
      <c r="A60" s="952" t="s">
        <v>34</v>
      </c>
      <c r="B60" s="952"/>
      <c r="C60" s="952"/>
      <c r="D60" s="703">
        <f>Formalien!$E$15</f>
      </c>
      <c r="E60" s="1189" t="s">
        <v>121</v>
      </c>
      <c r="F60" s="872"/>
      <c r="G60" s="1190">
        <f>Formalien!$E$12</f>
      </c>
      <c r="H60" s="1190"/>
      <c r="I60" s="656" t="s">
        <v>110</v>
      </c>
      <c r="J60" s="1291">
        <f>Formalien!$E$13</f>
      </c>
      <c r="K60" s="1191"/>
    </row>
    <row r="61" spans="1:11" ht="14.45" customHeight="1" x14ac:dyDescent="0.2">
      <c r="C61" s="593"/>
      <c r="D61" s="593"/>
      <c r="E61" s="593"/>
      <c r="F61" s="593"/>
      <c r="G61" s="593"/>
      <c r="H61" s="593"/>
      <c r="I61" s="593"/>
      <c r="J61" s="593"/>
      <c r="K61" s="654" t="s">
        <v>566</v>
      </c>
    </row>
    <row r="63" spans="1:11" x14ac:dyDescent="0.2">
      <c r="A63" s="338"/>
      <c r="B63" s="338"/>
      <c r="J63" s="342"/>
      <c r="K63" s="342"/>
    </row>
    <row r="64" spans="1:11" ht="13.15" customHeight="1" x14ac:dyDescent="0.2">
      <c r="C64" s="477"/>
      <c r="E64" s="342"/>
      <c r="F64" s="342"/>
      <c r="I64" s="342"/>
      <c r="J64" s="342"/>
    </row>
    <row r="65" spans="1:11" ht="13.15" customHeight="1" x14ac:dyDescent="0.2"/>
    <row r="66" spans="1:11" x14ac:dyDescent="0.2">
      <c r="C66" s="477"/>
    </row>
    <row r="67" spans="1:11" x14ac:dyDescent="0.2">
      <c r="A67" s="338"/>
      <c r="B67" s="338"/>
      <c r="J67" s="342"/>
      <c r="K67" s="342"/>
    </row>
    <row r="68" spans="1:11" x14ac:dyDescent="0.2">
      <c r="C68" s="477"/>
      <c r="E68" s="342"/>
      <c r="F68" s="342"/>
      <c r="I68" s="342"/>
      <c r="J68" s="342"/>
    </row>
    <row r="70" spans="1:11" x14ac:dyDescent="0.2">
      <c r="C70" s="477"/>
    </row>
    <row r="72" spans="1:11" x14ac:dyDescent="0.2">
      <c r="C72" s="477"/>
    </row>
    <row r="74" spans="1:11" ht="4.3499999999999996" customHeight="1" x14ac:dyDescent="0.2"/>
  </sheetData>
  <sheetProtection selectLockedCells="1"/>
  <mergeCells count="80">
    <mergeCell ref="A2:E2"/>
    <mergeCell ref="A3:C3"/>
    <mergeCell ref="D3:G3"/>
    <mergeCell ref="H3:K3"/>
    <mergeCell ref="A4:C4"/>
    <mergeCell ref="D4:F4"/>
    <mergeCell ref="G4:K4"/>
    <mergeCell ref="B16:E16"/>
    <mergeCell ref="H16:I16"/>
    <mergeCell ref="A5:K5"/>
    <mergeCell ref="A9:K9"/>
    <mergeCell ref="A10:G10"/>
    <mergeCell ref="B11:E11"/>
    <mergeCell ref="H11:I11"/>
    <mergeCell ref="B12:E12"/>
    <mergeCell ref="H12:I12"/>
    <mergeCell ref="H13:I13"/>
    <mergeCell ref="B14:E14"/>
    <mergeCell ref="H14:I14"/>
    <mergeCell ref="B15:E15"/>
    <mergeCell ref="H15:I15"/>
    <mergeCell ref="B24:E24"/>
    <mergeCell ref="G24:J24"/>
    <mergeCell ref="B17:E17"/>
    <mergeCell ref="H17:I17"/>
    <mergeCell ref="B18:E18"/>
    <mergeCell ref="H18:I18"/>
    <mergeCell ref="H19:I19"/>
    <mergeCell ref="B20:E20"/>
    <mergeCell ref="H20:I20"/>
    <mergeCell ref="B21:E21"/>
    <mergeCell ref="H21:I21"/>
    <mergeCell ref="B22:E22"/>
    <mergeCell ref="H22:I22"/>
    <mergeCell ref="H23:I23"/>
    <mergeCell ref="B34:E34"/>
    <mergeCell ref="H34:I34"/>
    <mergeCell ref="A25:E25"/>
    <mergeCell ref="F25:K25"/>
    <mergeCell ref="A26:K26"/>
    <mergeCell ref="A27:K27"/>
    <mergeCell ref="A28:K28"/>
    <mergeCell ref="A29:K29"/>
    <mergeCell ref="A30:K30"/>
    <mergeCell ref="A31:K31"/>
    <mergeCell ref="A32:G32"/>
    <mergeCell ref="B33:E33"/>
    <mergeCell ref="H33:I33"/>
    <mergeCell ref="B35:E35"/>
    <mergeCell ref="H35:I35"/>
    <mergeCell ref="B36:E36"/>
    <mergeCell ref="H36:I36"/>
    <mergeCell ref="B37:E37"/>
    <mergeCell ref="H37:I37"/>
    <mergeCell ref="B38:E38"/>
    <mergeCell ref="H38:I38"/>
    <mergeCell ref="B39:E39"/>
    <mergeCell ref="H39:I39"/>
    <mergeCell ref="B40:E40"/>
    <mergeCell ref="H40:I40"/>
    <mergeCell ref="A54:K54"/>
    <mergeCell ref="B41:E41"/>
    <mergeCell ref="H41:I41"/>
    <mergeCell ref="B42:E42"/>
    <mergeCell ref="H42:I42"/>
    <mergeCell ref="B43:E43"/>
    <mergeCell ref="H43:I43"/>
    <mergeCell ref="B44:E44"/>
    <mergeCell ref="H44:I44"/>
    <mergeCell ref="A52:J52"/>
    <mergeCell ref="A53:E53"/>
    <mergeCell ref="F53:K53"/>
    <mergeCell ref="A55:K55"/>
    <mergeCell ref="A56:K56"/>
    <mergeCell ref="A57:K57"/>
    <mergeCell ref="A58:K58"/>
    <mergeCell ref="A60:C60"/>
    <mergeCell ref="E60:F60"/>
    <mergeCell ref="G60:H60"/>
    <mergeCell ref="J60:K60"/>
  </mergeCells>
  <pageMargins left="0.44" right="0.39" top="0.4" bottom="0.48" header="0.31496062992125984" footer="0.31496062992125984"/>
  <pageSetup paperSize="9" scale="75" fitToWidth="0" fitToHeight="0"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46324-853F-40E6-BCED-ED5B3A04F23D}">
  <sheetPr>
    <tabColor theme="5" tint="0.39997558519241921"/>
  </sheetPr>
  <dimension ref="A1:I50"/>
  <sheetViews>
    <sheetView showGridLines="0" showZeros="0" zoomScaleNormal="100" workbookViewId="0">
      <selection activeCell="L14" sqref="L14"/>
    </sheetView>
  </sheetViews>
  <sheetFormatPr baseColWidth="10"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s">
        <v>551</v>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190">
        <f>Formalien!$E$12</f>
        <v>0</v>
      </c>
      <c r="F50" s="1190"/>
      <c r="G50" s="1190"/>
      <c r="H50" s="551"/>
      <c r="I50" s="543"/>
    </row>
  </sheetData>
  <mergeCells count="9">
    <mergeCell ref="B7:G48"/>
    <mergeCell ref="A50:B50"/>
    <mergeCell ref="E50:G50"/>
    <mergeCell ref="D4:G4"/>
    <mergeCell ref="A2:C2"/>
    <mergeCell ref="D2:E2"/>
    <mergeCell ref="A3:C3"/>
    <mergeCell ref="F3:G3"/>
    <mergeCell ref="A4:C4"/>
  </mergeCells>
  <pageMargins left="0.78740157480314965" right="0.19685039370078741" top="0.78740157480314965" bottom="0.78740157480314965" header="0.31496062992125984" footer="0.31496062992125984"/>
  <pageSetup paperSize="9" scale="95" fitToWidth="0"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CBDB-A247-41F3-9BA3-D55C044CAD73}">
  <sheetPr>
    <tabColor theme="5" tint="0.39997558519241921"/>
  </sheetPr>
  <dimension ref="A1:I50"/>
  <sheetViews>
    <sheetView showGridLines="0" showZeros="0" zoomScaleNormal="100" workbookViewId="0">
      <selection activeCell="J51" sqref="J51"/>
    </sheetView>
  </sheetViews>
  <sheetFormatPr baseColWidth="10" defaultColWidth="11.5703125"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s">
        <v>551</v>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284">
        <f>Formalien!$E$13</f>
        <v>0</v>
      </c>
      <c r="F50" s="1190"/>
      <c r="G50" s="1190"/>
      <c r="H50" s="551"/>
      <c r="I50" s="543"/>
    </row>
  </sheetData>
  <mergeCells count="9">
    <mergeCell ref="B7:G48"/>
    <mergeCell ref="A50:B50"/>
    <mergeCell ref="E50:G50"/>
    <mergeCell ref="A2:C2"/>
    <mergeCell ref="D2:E2"/>
    <mergeCell ref="A3:C3"/>
    <mergeCell ref="F3:G3"/>
    <mergeCell ref="A4:C4"/>
    <mergeCell ref="D4:G4"/>
  </mergeCells>
  <pageMargins left="0.78740157480314965" right="0.19685039370078741" top="0.78740157480314965" bottom="0.78740157480314965" header="0.31496062992125984" footer="0.31496062992125984"/>
  <pageSetup paperSize="9" scale="90" fitToWidth="0"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5A4F-D4D6-4F53-B3DC-DDDB59766B60}">
  <sheetPr>
    <tabColor theme="9" tint="0.79998168889431442"/>
  </sheetPr>
  <dimension ref="A1:C48"/>
  <sheetViews>
    <sheetView zoomScaleNormal="100" workbookViewId="0">
      <selection activeCell="H45" sqref="H45"/>
    </sheetView>
  </sheetViews>
  <sheetFormatPr baseColWidth="10" defaultRowHeight="15" x14ac:dyDescent="0.25"/>
  <cols>
    <col min="1" max="1" width="2" customWidth="1"/>
    <col min="3" max="3" width="77.7109375" customWidth="1"/>
  </cols>
  <sheetData>
    <row r="1" spans="1:3" s="478" customFormat="1" ht="18.600000000000001" customHeight="1" x14ac:dyDescent="0.25">
      <c r="A1" s="573" t="s">
        <v>458</v>
      </c>
      <c r="B1" s="548"/>
      <c r="C1" s="548"/>
    </row>
    <row r="2" spans="1:3" x14ac:dyDescent="0.25">
      <c r="A2" s="549" t="s">
        <v>541</v>
      </c>
      <c r="B2" s="546"/>
      <c r="C2" s="546"/>
    </row>
    <row r="3" spans="1:3" x14ac:dyDescent="0.25">
      <c r="A3" s="500"/>
      <c r="B3" s="631" t="s">
        <v>459</v>
      </c>
      <c r="C3" s="632" t="s">
        <v>53</v>
      </c>
    </row>
    <row r="4" spans="1:3" x14ac:dyDescent="0.25">
      <c r="A4" s="501"/>
      <c r="B4" s="633" t="s">
        <v>460</v>
      </c>
      <c r="C4" s="634" t="s">
        <v>461</v>
      </c>
    </row>
    <row r="5" spans="1:3" x14ac:dyDescent="0.25">
      <c r="A5" s="501"/>
      <c r="B5" s="633" t="s">
        <v>457</v>
      </c>
      <c r="C5" s="634" t="s">
        <v>537</v>
      </c>
    </row>
    <row r="6" spans="1:3" x14ac:dyDescent="0.25">
      <c r="A6" s="501"/>
      <c r="B6" s="633"/>
      <c r="C6" s="634"/>
    </row>
    <row r="7" spans="1:3" x14ac:dyDescent="0.25">
      <c r="A7" s="501"/>
      <c r="B7" s="633" t="s">
        <v>462</v>
      </c>
      <c r="C7" s="634" t="s">
        <v>463</v>
      </c>
    </row>
    <row r="8" spans="1:3" x14ac:dyDescent="0.25">
      <c r="A8" s="501"/>
      <c r="B8" s="633" t="s">
        <v>464</v>
      </c>
      <c r="C8" s="634" t="s">
        <v>465</v>
      </c>
    </row>
    <row r="9" spans="1:3" x14ac:dyDescent="0.25">
      <c r="A9" s="501"/>
      <c r="B9" s="633" t="s">
        <v>466</v>
      </c>
      <c r="C9" s="634" t="s">
        <v>467</v>
      </c>
    </row>
    <row r="10" spans="1:3" x14ac:dyDescent="0.25">
      <c r="A10" s="501"/>
      <c r="B10" s="635"/>
      <c r="C10" s="636"/>
    </row>
    <row r="11" spans="1:3" x14ac:dyDescent="0.25">
      <c r="A11" s="501"/>
      <c r="B11" s="637" t="s">
        <v>468</v>
      </c>
      <c r="C11" s="636" t="s">
        <v>469</v>
      </c>
    </row>
    <row r="12" spans="1:3" x14ac:dyDescent="0.25">
      <c r="A12" s="501"/>
      <c r="B12" s="637" t="s">
        <v>470</v>
      </c>
      <c r="C12" s="636" t="s">
        <v>532</v>
      </c>
    </row>
    <row r="13" spans="1:3" x14ac:dyDescent="0.25">
      <c r="A13" s="501"/>
      <c r="B13" s="637"/>
      <c r="C13" s="636" t="s">
        <v>533</v>
      </c>
    </row>
    <row r="14" spans="1:3" x14ac:dyDescent="0.25">
      <c r="A14" s="501"/>
      <c r="B14" s="637" t="s">
        <v>471</v>
      </c>
      <c r="C14" s="636" t="s">
        <v>472</v>
      </c>
    </row>
    <row r="15" spans="1:3" x14ac:dyDescent="0.25">
      <c r="A15" s="502"/>
      <c r="B15" s="545"/>
      <c r="C15" s="547"/>
    </row>
    <row r="16" spans="1:3" x14ac:dyDescent="0.25">
      <c r="A16" s="546"/>
      <c r="B16" s="546"/>
      <c r="C16" s="546"/>
    </row>
    <row r="17" spans="1:3" x14ac:dyDescent="0.25">
      <c r="A17" s="549" t="s">
        <v>540</v>
      </c>
      <c r="B17" s="546"/>
      <c r="C17" s="546"/>
    </row>
    <row r="18" spans="1:3" x14ac:dyDescent="0.25">
      <c r="A18" s="500"/>
      <c r="B18" s="631" t="s">
        <v>356</v>
      </c>
      <c r="C18" s="632" t="s">
        <v>538</v>
      </c>
    </row>
    <row r="19" spans="1:3" x14ac:dyDescent="0.25">
      <c r="A19" s="501"/>
      <c r="B19" s="633" t="s">
        <v>473</v>
      </c>
      <c r="C19" s="634" t="s">
        <v>474</v>
      </c>
    </row>
    <row r="20" spans="1:3" x14ac:dyDescent="0.25">
      <c r="A20" s="501"/>
      <c r="B20" s="633" t="s">
        <v>475</v>
      </c>
      <c r="C20" s="634" t="s">
        <v>476</v>
      </c>
    </row>
    <row r="21" spans="1:3" x14ac:dyDescent="0.25">
      <c r="A21" s="501"/>
      <c r="B21" s="633" t="s">
        <v>477</v>
      </c>
      <c r="C21" s="634" t="s">
        <v>478</v>
      </c>
    </row>
    <row r="22" spans="1:3" x14ac:dyDescent="0.25">
      <c r="A22" s="501"/>
      <c r="B22" s="633" t="s">
        <v>479</v>
      </c>
      <c r="C22" s="634" t="s">
        <v>480</v>
      </c>
    </row>
    <row r="23" spans="1:3" x14ac:dyDescent="0.25">
      <c r="A23" s="501"/>
      <c r="B23" s="633" t="s">
        <v>481</v>
      </c>
      <c r="C23" s="634" t="s">
        <v>482</v>
      </c>
    </row>
    <row r="24" spans="1:3" x14ac:dyDescent="0.25">
      <c r="A24" s="501"/>
      <c r="B24" s="633" t="s">
        <v>483</v>
      </c>
      <c r="C24" s="634" t="s">
        <v>484</v>
      </c>
    </row>
    <row r="25" spans="1:3" x14ac:dyDescent="0.25">
      <c r="A25" s="501"/>
      <c r="B25" s="633" t="s">
        <v>485</v>
      </c>
      <c r="C25" s="634" t="s">
        <v>486</v>
      </c>
    </row>
    <row r="26" spans="1:3" x14ac:dyDescent="0.25">
      <c r="A26" s="501"/>
      <c r="B26" s="633" t="s">
        <v>362</v>
      </c>
      <c r="C26" s="634" t="s">
        <v>539</v>
      </c>
    </row>
    <row r="27" spans="1:3" x14ac:dyDescent="0.25">
      <c r="A27" s="501"/>
      <c r="B27" s="633" t="s">
        <v>487</v>
      </c>
      <c r="C27" s="634" t="s">
        <v>488</v>
      </c>
    </row>
    <row r="28" spans="1:3" x14ac:dyDescent="0.25">
      <c r="A28" s="501"/>
      <c r="B28" s="633" t="s">
        <v>489</v>
      </c>
      <c r="C28" s="634" t="s">
        <v>490</v>
      </c>
    </row>
    <row r="29" spans="1:3" x14ac:dyDescent="0.25">
      <c r="A29" s="501"/>
      <c r="B29" s="633" t="s">
        <v>536</v>
      </c>
      <c r="C29" s="634" t="s">
        <v>176</v>
      </c>
    </row>
    <row r="30" spans="1:3" x14ac:dyDescent="0.25">
      <c r="A30" s="501"/>
      <c r="B30" s="633" t="s">
        <v>491</v>
      </c>
      <c r="C30" s="634" t="s">
        <v>492</v>
      </c>
    </row>
    <row r="31" spans="1:3" x14ac:dyDescent="0.25">
      <c r="A31" s="501"/>
      <c r="B31" s="633" t="s">
        <v>619</v>
      </c>
      <c r="C31" s="634" t="s">
        <v>617</v>
      </c>
    </row>
    <row r="32" spans="1:3" x14ac:dyDescent="0.25">
      <c r="A32" s="501"/>
      <c r="B32" s="633" t="s">
        <v>493</v>
      </c>
      <c r="C32" s="634" t="s">
        <v>494</v>
      </c>
    </row>
    <row r="33" spans="1:3" x14ac:dyDescent="0.25">
      <c r="A33" s="501"/>
      <c r="B33" s="633" t="s">
        <v>344</v>
      </c>
      <c r="C33" s="634" t="s">
        <v>495</v>
      </c>
    </row>
    <row r="34" spans="1:3" x14ac:dyDescent="0.25">
      <c r="A34" s="501"/>
      <c r="B34" s="633" t="s">
        <v>496</v>
      </c>
      <c r="C34" s="634" t="s">
        <v>497</v>
      </c>
    </row>
    <row r="35" spans="1:3" x14ac:dyDescent="0.25">
      <c r="A35" s="501"/>
      <c r="B35" s="633" t="s">
        <v>543</v>
      </c>
      <c r="C35" s="634" t="s">
        <v>425</v>
      </c>
    </row>
    <row r="36" spans="1:3" x14ac:dyDescent="0.25">
      <c r="A36" s="501"/>
      <c r="B36" s="633" t="s">
        <v>498</v>
      </c>
      <c r="C36" s="634" t="s">
        <v>499</v>
      </c>
    </row>
    <row r="37" spans="1:3" x14ac:dyDescent="0.25">
      <c r="A37" s="501"/>
      <c r="B37" s="633" t="s">
        <v>500</v>
      </c>
      <c r="C37" s="634" t="s">
        <v>501</v>
      </c>
    </row>
    <row r="38" spans="1:3" x14ac:dyDescent="0.25">
      <c r="A38" s="501"/>
      <c r="B38" s="633" t="s">
        <v>618</v>
      </c>
      <c r="C38" s="634" t="s">
        <v>620</v>
      </c>
    </row>
    <row r="39" spans="1:3" x14ac:dyDescent="0.25">
      <c r="A39" s="501"/>
      <c r="B39" s="633" t="s">
        <v>502</v>
      </c>
      <c r="C39" s="634" t="s">
        <v>503</v>
      </c>
    </row>
    <row r="40" spans="1:3" x14ac:dyDescent="0.25">
      <c r="A40" s="501"/>
      <c r="B40" s="635" t="s">
        <v>504</v>
      </c>
      <c r="C40" s="638" t="s">
        <v>505</v>
      </c>
    </row>
    <row r="41" spans="1:3" x14ac:dyDescent="0.25">
      <c r="A41" s="501"/>
      <c r="B41" s="635" t="s">
        <v>506</v>
      </c>
      <c r="C41" s="638" t="s">
        <v>507</v>
      </c>
    </row>
    <row r="42" spans="1:3" x14ac:dyDescent="0.25">
      <c r="A42" s="501"/>
      <c r="B42" s="633" t="s">
        <v>508</v>
      </c>
      <c r="C42" s="634" t="s">
        <v>509</v>
      </c>
    </row>
    <row r="43" spans="1:3" x14ac:dyDescent="0.25">
      <c r="A43" s="501"/>
      <c r="B43" s="635" t="s">
        <v>510</v>
      </c>
      <c r="C43" s="638" t="s">
        <v>511</v>
      </c>
    </row>
    <row r="44" spans="1:3" x14ac:dyDescent="0.25">
      <c r="A44" s="501"/>
      <c r="B44" s="635" t="s">
        <v>512</v>
      </c>
      <c r="C44" s="638" t="s">
        <v>513</v>
      </c>
    </row>
    <row r="45" spans="1:3" x14ac:dyDescent="0.25">
      <c r="A45" s="501"/>
      <c r="B45" s="635" t="s">
        <v>514</v>
      </c>
      <c r="C45" s="638" t="s">
        <v>515</v>
      </c>
    </row>
    <row r="46" spans="1:3" x14ac:dyDescent="0.25">
      <c r="A46" s="501"/>
      <c r="B46" s="629"/>
      <c r="C46" s="630"/>
    </row>
    <row r="47" spans="1:3" x14ac:dyDescent="0.25">
      <c r="A47" s="501"/>
      <c r="B47" s="372"/>
      <c r="C47" s="639" t="s">
        <v>534</v>
      </c>
    </row>
    <row r="48" spans="1:3" x14ac:dyDescent="0.25">
      <c r="A48" s="502"/>
      <c r="B48" s="628"/>
      <c r="C48" s="547" t="s">
        <v>535</v>
      </c>
    </row>
  </sheetData>
  <pageMargins left="0.78740157480314965" right="0.19685039370078741" top="0.78740157480314965" bottom="0.78740157480314965"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8708-E18D-4AA8-AC7A-9308F1268770}">
  <dimension ref="A1:N159"/>
  <sheetViews>
    <sheetView topLeftCell="A120" workbookViewId="0">
      <selection activeCell="L67" sqref="L67"/>
    </sheetView>
  </sheetViews>
  <sheetFormatPr baseColWidth="10" defaultColWidth="10.7109375" defaultRowHeight="15" x14ac:dyDescent="0.25"/>
  <cols>
    <col min="2" max="2" width="14.5703125" customWidth="1"/>
    <col min="4" max="4" width="14.7109375" customWidth="1"/>
    <col min="8" max="8" width="12.7109375" customWidth="1"/>
    <col min="10" max="10" width="40.140625" customWidth="1"/>
    <col min="14" max="14" width="16.42578125" customWidth="1"/>
  </cols>
  <sheetData>
    <row r="1" spans="1:10" x14ac:dyDescent="0.25">
      <c r="A1" t="s">
        <v>39</v>
      </c>
      <c r="B1" t="s">
        <v>4</v>
      </c>
      <c r="C1" t="s">
        <v>40</v>
      </c>
      <c r="D1" t="s">
        <v>157</v>
      </c>
      <c r="E1" t="s">
        <v>43</v>
      </c>
      <c r="F1">
        <v>0</v>
      </c>
    </row>
    <row r="2" spans="1:10" x14ac:dyDescent="0.25">
      <c r="A2" t="s">
        <v>200</v>
      </c>
      <c r="B2" s="129" t="s">
        <v>346</v>
      </c>
      <c r="C2" s="168">
        <v>2</v>
      </c>
      <c r="D2" s="168">
        <v>3</v>
      </c>
      <c r="E2" s="168">
        <v>4</v>
      </c>
      <c r="F2" s="168">
        <v>5</v>
      </c>
    </row>
    <row r="3" spans="1:10" x14ac:dyDescent="0.25">
      <c r="A3" t="s">
        <v>7</v>
      </c>
      <c r="B3" s="160">
        <v>0</v>
      </c>
      <c r="C3" s="160">
        <v>100</v>
      </c>
      <c r="D3" s="160">
        <v>100</v>
      </c>
      <c r="E3" s="160">
        <v>100</v>
      </c>
      <c r="F3" s="160">
        <v>0</v>
      </c>
      <c r="I3" t="s">
        <v>207</v>
      </c>
    </row>
    <row r="4" spans="1:10" x14ac:dyDescent="0.25">
      <c r="B4" s="160">
        <v>1</v>
      </c>
      <c r="C4" s="160">
        <v>98</v>
      </c>
      <c r="D4" s="160">
        <v>98</v>
      </c>
      <c r="E4" s="160">
        <v>98</v>
      </c>
      <c r="F4" s="160">
        <v>0</v>
      </c>
      <c r="I4" t="s">
        <v>208</v>
      </c>
      <c r="J4" t="s">
        <v>209</v>
      </c>
    </row>
    <row r="5" spans="1:10" x14ac:dyDescent="0.25">
      <c r="B5" s="160">
        <v>2</v>
      </c>
      <c r="C5" s="160">
        <v>96</v>
      </c>
      <c r="D5" s="160">
        <v>96</v>
      </c>
      <c r="E5" s="160">
        <v>96</v>
      </c>
      <c r="F5" s="160">
        <f>-I10</f>
        <v>0</v>
      </c>
    </row>
    <row r="6" spans="1:10" x14ac:dyDescent="0.25">
      <c r="B6" s="160">
        <v>3</v>
      </c>
      <c r="C6" s="160">
        <v>94</v>
      </c>
      <c r="D6" s="160">
        <v>94</v>
      </c>
      <c r="E6" s="160">
        <v>94</v>
      </c>
      <c r="F6" s="160">
        <v>0</v>
      </c>
      <c r="I6" t="s">
        <v>205</v>
      </c>
    </row>
    <row r="7" spans="1:10" x14ac:dyDescent="0.25">
      <c r="A7" s="134" t="s">
        <v>309</v>
      </c>
      <c r="B7" s="160">
        <v>4</v>
      </c>
      <c r="C7" s="160">
        <v>92</v>
      </c>
      <c r="D7" s="160">
        <v>92</v>
      </c>
      <c r="E7" s="160">
        <v>92</v>
      </c>
      <c r="F7" s="160">
        <v>0</v>
      </c>
      <c r="I7" t="s">
        <v>206</v>
      </c>
    </row>
    <row r="8" spans="1:10" x14ac:dyDescent="0.25">
      <c r="B8" s="160">
        <v>5</v>
      </c>
      <c r="C8" s="160">
        <v>90</v>
      </c>
      <c r="D8" s="160">
        <v>90</v>
      </c>
      <c r="E8" s="160">
        <v>90</v>
      </c>
      <c r="F8" s="160">
        <v>0</v>
      </c>
      <c r="I8" t="s">
        <v>201</v>
      </c>
    </row>
    <row r="9" spans="1:10" x14ac:dyDescent="0.25">
      <c r="B9" s="160">
        <v>6</v>
      </c>
      <c r="C9" s="160">
        <v>89.8</v>
      </c>
      <c r="D9" s="160">
        <v>89</v>
      </c>
      <c r="E9" s="160">
        <v>86.2</v>
      </c>
      <c r="F9" s="160">
        <v>0</v>
      </c>
    </row>
    <row r="10" spans="1:10" x14ac:dyDescent="0.25">
      <c r="B10" s="160">
        <v>7</v>
      </c>
      <c r="C10" s="160">
        <v>89.6</v>
      </c>
      <c r="D10" s="160">
        <v>88</v>
      </c>
      <c r="E10" s="160">
        <v>82.4</v>
      </c>
      <c r="F10" s="160">
        <v>0</v>
      </c>
    </row>
    <row r="11" spans="1:10" x14ac:dyDescent="0.25">
      <c r="B11" s="160">
        <v>8</v>
      </c>
      <c r="C11" s="160">
        <v>89.3</v>
      </c>
      <c r="D11" s="160">
        <v>87</v>
      </c>
      <c r="E11" s="160">
        <v>78.599999999999994</v>
      </c>
      <c r="F11" s="160">
        <v>0</v>
      </c>
      <c r="I11" t="s">
        <v>210</v>
      </c>
    </row>
    <row r="12" spans="1:10" x14ac:dyDescent="0.25">
      <c r="B12" s="160">
        <v>9</v>
      </c>
      <c r="C12" s="160">
        <v>88.9</v>
      </c>
      <c r="D12" s="160">
        <v>86</v>
      </c>
      <c r="E12" s="160">
        <v>74.8</v>
      </c>
      <c r="F12" s="160">
        <v>0</v>
      </c>
      <c r="I12" t="s">
        <v>202</v>
      </c>
    </row>
    <row r="13" spans="1:10" x14ac:dyDescent="0.25">
      <c r="B13" s="160">
        <v>10</v>
      </c>
      <c r="C13" s="160">
        <v>88.5</v>
      </c>
      <c r="D13" s="160">
        <v>85</v>
      </c>
      <c r="E13" s="160">
        <v>71</v>
      </c>
      <c r="F13" s="160">
        <v>0</v>
      </c>
    </row>
    <row r="14" spans="1:10" x14ac:dyDescent="0.25">
      <c r="B14" s="160">
        <v>11</v>
      </c>
      <c r="C14" s="160">
        <v>88.2</v>
      </c>
      <c r="D14" s="160">
        <v>82.2</v>
      </c>
      <c r="E14" s="160">
        <v>67.599999999999994</v>
      </c>
      <c r="F14" s="160">
        <v>0</v>
      </c>
    </row>
    <row r="15" spans="1:10" x14ac:dyDescent="0.25">
      <c r="B15" s="160">
        <v>12</v>
      </c>
      <c r="C15" s="160">
        <v>86.4</v>
      </c>
      <c r="D15" s="160">
        <v>79.400000000000006</v>
      </c>
      <c r="E15" s="160">
        <v>64.2</v>
      </c>
      <c r="F15" s="160">
        <v>0</v>
      </c>
    </row>
    <row r="16" spans="1:10" x14ac:dyDescent="0.25">
      <c r="B16" s="160">
        <v>13</v>
      </c>
      <c r="C16" s="160">
        <v>84.6</v>
      </c>
      <c r="D16" s="160">
        <v>76.599999999999994</v>
      </c>
      <c r="E16" s="160">
        <v>60.8</v>
      </c>
      <c r="F16" s="160">
        <v>0</v>
      </c>
    </row>
    <row r="17" spans="2:6" x14ac:dyDescent="0.25">
      <c r="B17" s="160">
        <v>14</v>
      </c>
      <c r="C17" s="160">
        <v>82.8</v>
      </c>
      <c r="D17" s="160">
        <v>73.8</v>
      </c>
      <c r="E17" s="160">
        <v>57.4</v>
      </c>
      <c r="F17" s="160">
        <v>0</v>
      </c>
    </row>
    <row r="18" spans="2:6" x14ac:dyDescent="0.25">
      <c r="B18" s="160">
        <v>15</v>
      </c>
      <c r="C18" s="160">
        <v>81</v>
      </c>
      <c r="D18" s="160">
        <v>71</v>
      </c>
      <c r="E18" s="160">
        <v>54</v>
      </c>
      <c r="F18" s="160">
        <v>0</v>
      </c>
    </row>
    <row r="19" spans="2:6" x14ac:dyDescent="0.25">
      <c r="B19" s="160">
        <v>16</v>
      </c>
      <c r="C19" s="160">
        <v>79</v>
      </c>
      <c r="D19" s="160">
        <v>68.8</v>
      </c>
      <c r="E19" s="160">
        <v>51.2</v>
      </c>
      <c r="F19" s="160">
        <v>0</v>
      </c>
    </row>
    <row r="20" spans="2:6" x14ac:dyDescent="0.25">
      <c r="B20" s="160">
        <v>17</v>
      </c>
      <c r="C20" s="160">
        <v>77</v>
      </c>
      <c r="D20" s="160">
        <v>66.599999999999994</v>
      </c>
      <c r="E20" s="160">
        <v>48.4</v>
      </c>
      <c r="F20" s="160">
        <v>0</v>
      </c>
    </row>
    <row r="21" spans="2:6" x14ac:dyDescent="0.25">
      <c r="B21" s="160">
        <v>18</v>
      </c>
      <c r="C21" s="160">
        <v>75</v>
      </c>
      <c r="D21" s="160">
        <v>64.400000000000006</v>
      </c>
      <c r="E21" s="160">
        <v>45.6</v>
      </c>
      <c r="F21" s="160">
        <v>0</v>
      </c>
    </row>
    <row r="22" spans="2:6" x14ac:dyDescent="0.25">
      <c r="B22" s="160">
        <v>19</v>
      </c>
      <c r="C22" s="160">
        <v>73</v>
      </c>
      <c r="D22" s="160">
        <v>62.2</v>
      </c>
      <c r="E22" s="160">
        <v>42.8</v>
      </c>
      <c r="F22" s="160">
        <v>0</v>
      </c>
    </row>
    <row r="23" spans="2:6" x14ac:dyDescent="0.25">
      <c r="B23" s="160">
        <v>20</v>
      </c>
      <c r="C23" s="160">
        <v>71</v>
      </c>
      <c r="D23" s="160">
        <v>60</v>
      </c>
      <c r="E23" s="160">
        <v>40</v>
      </c>
      <c r="F23" s="160">
        <v>0</v>
      </c>
    </row>
    <row r="24" spans="2:6" x14ac:dyDescent="0.25">
      <c r="B24" s="160">
        <v>21</v>
      </c>
      <c r="C24" s="160">
        <v>69.2</v>
      </c>
      <c r="D24" s="160">
        <v>57.8</v>
      </c>
      <c r="E24" s="160">
        <v>37.799999999999997</v>
      </c>
      <c r="F24" s="160">
        <v>0</v>
      </c>
    </row>
    <row r="25" spans="2:6" x14ac:dyDescent="0.25">
      <c r="B25" s="160">
        <v>22</v>
      </c>
      <c r="C25" s="160">
        <v>67.400000000000006</v>
      </c>
      <c r="D25" s="160">
        <v>55.6</v>
      </c>
      <c r="E25" s="160">
        <v>35.6</v>
      </c>
      <c r="F25" s="160">
        <v>0</v>
      </c>
    </row>
    <row r="26" spans="2:6" x14ac:dyDescent="0.25">
      <c r="B26" s="160">
        <v>23</v>
      </c>
      <c r="C26" s="160">
        <v>65.599999999999994</v>
      </c>
      <c r="D26" s="160">
        <v>53.4</v>
      </c>
      <c r="E26" s="160">
        <v>33.4</v>
      </c>
      <c r="F26" s="160">
        <v>0</v>
      </c>
    </row>
    <row r="27" spans="2:6" x14ac:dyDescent="0.25">
      <c r="B27" s="160">
        <v>24</v>
      </c>
      <c r="C27" s="160">
        <v>63.8</v>
      </c>
      <c r="D27" s="160">
        <v>51.2</v>
      </c>
      <c r="E27" s="160">
        <v>31.2</v>
      </c>
      <c r="F27" s="160">
        <v>0</v>
      </c>
    </row>
    <row r="28" spans="2:6" x14ac:dyDescent="0.25">
      <c r="B28" s="160">
        <v>25</v>
      </c>
      <c r="C28" s="160">
        <v>62</v>
      </c>
      <c r="D28" s="160">
        <v>49</v>
      </c>
      <c r="E28" s="160">
        <v>29</v>
      </c>
      <c r="F28" s="160">
        <v>0</v>
      </c>
    </row>
    <row r="29" spans="2:6" x14ac:dyDescent="0.25">
      <c r="B29" s="160">
        <v>26</v>
      </c>
      <c r="C29" s="160">
        <v>60.4</v>
      </c>
      <c r="D29" s="160">
        <v>47.2</v>
      </c>
      <c r="E29" s="160">
        <v>27.4</v>
      </c>
      <c r="F29" s="160">
        <v>0</v>
      </c>
    </row>
    <row r="30" spans="2:6" x14ac:dyDescent="0.25">
      <c r="B30" s="160">
        <v>27</v>
      </c>
      <c r="C30" s="160">
        <v>58.8</v>
      </c>
      <c r="D30" s="160">
        <v>45.4</v>
      </c>
      <c r="E30" s="160">
        <v>25.8</v>
      </c>
      <c r="F30" s="160">
        <v>0</v>
      </c>
    </row>
    <row r="31" spans="2:6" x14ac:dyDescent="0.25">
      <c r="B31" s="160">
        <v>28</v>
      </c>
      <c r="C31" s="160">
        <v>57.2</v>
      </c>
      <c r="D31" s="160">
        <v>43.6</v>
      </c>
      <c r="E31" s="160">
        <v>24.2</v>
      </c>
      <c r="F31" s="160">
        <v>0</v>
      </c>
    </row>
    <row r="32" spans="2:6" x14ac:dyDescent="0.25">
      <c r="B32" s="160">
        <v>29</v>
      </c>
      <c r="C32" s="160">
        <v>55.6</v>
      </c>
      <c r="D32" s="160">
        <v>41.8</v>
      </c>
      <c r="E32" s="160">
        <v>22.6</v>
      </c>
      <c r="F32" s="160">
        <v>0</v>
      </c>
    </row>
    <row r="33" spans="2:6" x14ac:dyDescent="0.25">
      <c r="B33" s="160">
        <v>30</v>
      </c>
      <c r="C33" s="160">
        <v>54</v>
      </c>
      <c r="D33" s="160">
        <v>40</v>
      </c>
      <c r="E33" s="160">
        <v>21</v>
      </c>
      <c r="F33" s="160">
        <v>0</v>
      </c>
    </row>
    <row r="34" spans="2:6" x14ac:dyDescent="0.25">
      <c r="B34" s="160">
        <v>31</v>
      </c>
      <c r="C34" s="160">
        <v>52.6</v>
      </c>
      <c r="D34" s="160">
        <v>38.4</v>
      </c>
      <c r="E34" s="160">
        <v>20.100000000000001</v>
      </c>
      <c r="F34" s="160">
        <v>0</v>
      </c>
    </row>
    <row r="35" spans="2:6" x14ac:dyDescent="0.25">
      <c r="B35" s="160">
        <v>32</v>
      </c>
      <c r="C35" s="160">
        <v>51.2</v>
      </c>
      <c r="D35" s="160">
        <v>36.799999999999997</v>
      </c>
      <c r="E35" s="160">
        <v>19.2</v>
      </c>
      <c r="F35" s="160">
        <v>0</v>
      </c>
    </row>
    <row r="36" spans="2:6" x14ac:dyDescent="0.25">
      <c r="B36" s="160">
        <v>33</v>
      </c>
      <c r="C36" s="160">
        <v>49.8</v>
      </c>
      <c r="D36" s="160">
        <v>35.200000000000003</v>
      </c>
      <c r="E36" s="160">
        <v>18.3</v>
      </c>
      <c r="F36" s="160">
        <v>0</v>
      </c>
    </row>
    <row r="37" spans="2:6" x14ac:dyDescent="0.25">
      <c r="B37" s="160">
        <v>34</v>
      </c>
      <c r="C37" s="160">
        <v>48.4</v>
      </c>
      <c r="D37" s="160">
        <v>33.6</v>
      </c>
      <c r="E37" s="160">
        <v>17.399999999999999</v>
      </c>
      <c r="F37" s="160">
        <v>0</v>
      </c>
    </row>
    <row r="38" spans="2:6" x14ac:dyDescent="0.25">
      <c r="B38" s="160">
        <v>35</v>
      </c>
      <c r="C38" s="160">
        <v>47</v>
      </c>
      <c r="D38" s="160">
        <v>32</v>
      </c>
      <c r="E38" s="160">
        <v>16.5</v>
      </c>
      <c r="F38" s="160">
        <v>0</v>
      </c>
    </row>
    <row r="39" spans="2:6" x14ac:dyDescent="0.25">
      <c r="B39" s="160">
        <v>36</v>
      </c>
      <c r="C39" s="160">
        <v>45.6</v>
      </c>
      <c r="D39" s="160">
        <v>30.8</v>
      </c>
      <c r="E39" s="160">
        <v>15.2</v>
      </c>
      <c r="F39" s="160">
        <v>0</v>
      </c>
    </row>
    <row r="40" spans="2:6" x14ac:dyDescent="0.25">
      <c r="B40" s="160">
        <v>37</v>
      </c>
      <c r="C40" s="160">
        <v>44.2</v>
      </c>
      <c r="D40" s="160">
        <v>29.6</v>
      </c>
      <c r="E40" s="160">
        <v>13.9</v>
      </c>
      <c r="F40" s="160">
        <v>0</v>
      </c>
    </row>
    <row r="41" spans="2:6" x14ac:dyDescent="0.25">
      <c r="B41" s="160">
        <v>38</v>
      </c>
      <c r="C41" s="160">
        <v>42.8</v>
      </c>
      <c r="D41" s="160">
        <v>28.4</v>
      </c>
      <c r="E41" s="160">
        <v>12.6</v>
      </c>
      <c r="F41" s="160">
        <v>0</v>
      </c>
    </row>
    <row r="42" spans="2:6" x14ac:dyDescent="0.25">
      <c r="B42" s="160">
        <v>39</v>
      </c>
      <c r="C42" s="160">
        <v>41.4</v>
      </c>
      <c r="D42" s="160">
        <v>27.2</v>
      </c>
      <c r="E42" s="160">
        <v>11.3</v>
      </c>
      <c r="F42" s="160">
        <v>0</v>
      </c>
    </row>
    <row r="43" spans="2:6" x14ac:dyDescent="0.25">
      <c r="B43" s="160">
        <v>40</v>
      </c>
      <c r="C43" s="160">
        <v>40</v>
      </c>
      <c r="D43" s="160">
        <v>26</v>
      </c>
      <c r="E43" s="160">
        <v>10</v>
      </c>
      <c r="F43" s="160">
        <v>0</v>
      </c>
    </row>
    <row r="44" spans="2:6" x14ac:dyDescent="0.25">
      <c r="B44" s="160">
        <v>41</v>
      </c>
      <c r="C44" s="160">
        <v>38.799999999999997</v>
      </c>
      <c r="D44" s="160">
        <v>25</v>
      </c>
      <c r="E44" s="160"/>
      <c r="F44" s="160">
        <v>0</v>
      </c>
    </row>
    <row r="45" spans="2:6" x14ac:dyDescent="0.25">
      <c r="B45" s="160">
        <v>42</v>
      </c>
      <c r="C45" s="160">
        <v>37.6</v>
      </c>
      <c r="D45" s="160">
        <v>24</v>
      </c>
      <c r="E45" s="160"/>
      <c r="F45" s="160">
        <v>0</v>
      </c>
    </row>
    <row r="46" spans="2:6" x14ac:dyDescent="0.25">
      <c r="B46" s="160">
        <v>43</v>
      </c>
      <c r="C46" s="160">
        <v>36.4</v>
      </c>
      <c r="D46" s="160">
        <v>23</v>
      </c>
      <c r="E46" s="160"/>
      <c r="F46" s="160">
        <v>0</v>
      </c>
    </row>
    <row r="47" spans="2:6" x14ac:dyDescent="0.25">
      <c r="B47" s="160">
        <v>44</v>
      </c>
      <c r="C47" s="160">
        <v>35.200000000000003</v>
      </c>
      <c r="D47" s="160">
        <v>22</v>
      </c>
      <c r="E47" s="160"/>
      <c r="F47" s="160">
        <v>0</v>
      </c>
    </row>
    <row r="48" spans="2:6" x14ac:dyDescent="0.25">
      <c r="B48" s="160">
        <v>45</v>
      </c>
      <c r="C48" s="160">
        <v>34</v>
      </c>
      <c r="D48" s="160">
        <v>21</v>
      </c>
      <c r="E48" s="160"/>
      <c r="F48" s="160">
        <v>0</v>
      </c>
    </row>
    <row r="49" spans="2:14" x14ac:dyDescent="0.25">
      <c r="B49" s="160">
        <v>46</v>
      </c>
      <c r="C49" s="160">
        <v>33</v>
      </c>
      <c r="D49" s="160">
        <v>20.399999999999999</v>
      </c>
      <c r="E49" s="160"/>
      <c r="F49" s="160">
        <v>0</v>
      </c>
    </row>
    <row r="50" spans="2:14" x14ac:dyDescent="0.25">
      <c r="B50" s="160">
        <v>47</v>
      </c>
      <c r="C50" s="160">
        <v>32</v>
      </c>
      <c r="D50" s="160">
        <v>19.8</v>
      </c>
      <c r="E50" s="160"/>
      <c r="F50" s="160">
        <v>0</v>
      </c>
    </row>
    <row r="51" spans="2:14" x14ac:dyDescent="0.25">
      <c r="B51" s="160">
        <v>48</v>
      </c>
      <c r="C51" s="160">
        <v>31</v>
      </c>
      <c r="D51" s="160">
        <v>19.2</v>
      </c>
      <c r="E51" s="160"/>
      <c r="F51" s="160">
        <v>0</v>
      </c>
    </row>
    <row r="52" spans="2:14" x14ac:dyDescent="0.25">
      <c r="B52" s="160">
        <v>49</v>
      </c>
      <c r="C52" s="160">
        <v>30</v>
      </c>
      <c r="D52" s="160">
        <v>18.600000000000001</v>
      </c>
      <c r="E52" s="160"/>
      <c r="F52" s="160">
        <v>0</v>
      </c>
      <c r="I52" s="129"/>
      <c r="J52" s="129" t="s">
        <v>347</v>
      </c>
      <c r="K52" s="168">
        <v>2</v>
      </c>
      <c r="L52" s="168">
        <v>3</v>
      </c>
      <c r="M52" s="168">
        <v>4</v>
      </c>
      <c r="N52" s="168">
        <v>5</v>
      </c>
    </row>
    <row r="53" spans="2:14" x14ac:dyDescent="0.25">
      <c r="B53" s="160">
        <v>50</v>
      </c>
      <c r="C53" s="160">
        <v>29</v>
      </c>
      <c r="D53" s="160">
        <v>18</v>
      </c>
      <c r="E53" s="160"/>
      <c r="F53" s="160">
        <v>0</v>
      </c>
      <c r="J53" s="76" t="s">
        <v>343</v>
      </c>
      <c r="K53" s="76" t="s">
        <v>44</v>
      </c>
      <c r="L53" s="76" t="s">
        <v>344</v>
      </c>
      <c r="M53" s="76" t="s">
        <v>46</v>
      </c>
      <c r="N53" s="76" t="s">
        <v>345</v>
      </c>
    </row>
    <row r="54" spans="2:14" x14ac:dyDescent="0.25">
      <c r="B54" s="160">
        <v>51</v>
      </c>
      <c r="C54" s="160">
        <v>28.2</v>
      </c>
      <c r="D54" s="160">
        <v>17.5</v>
      </c>
      <c r="E54" s="160"/>
      <c r="F54" s="160">
        <v>0</v>
      </c>
      <c r="I54" t="s">
        <v>348</v>
      </c>
      <c r="J54" s="161" t="s">
        <v>324</v>
      </c>
      <c r="K54" s="173" t="s">
        <v>168</v>
      </c>
      <c r="L54" s="174">
        <v>325</v>
      </c>
      <c r="M54" s="174"/>
      <c r="N54" s="175">
        <v>4</v>
      </c>
    </row>
    <row r="55" spans="2:14" x14ac:dyDescent="0.25">
      <c r="B55" s="160">
        <v>52</v>
      </c>
      <c r="C55" s="160">
        <v>27.4</v>
      </c>
      <c r="D55" s="160">
        <v>17</v>
      </c>
      <c r="E55" s="160"/>
      <c r="F55" s="160">
        <v>0</v>
      </c>
      <c r="J55" s="162" t="s">
        <v>322</v>
      </c>
      <c r="K55" s="169" t="s">
        <v>164</v>
      </c>
      <c r="L55" s="76">
        <v>420</v>
      </c>
      <c r="M55" s="76"/>
      <c r="N55" s="171">
        <v>3</v>
      </c>
    </row>
    <row r="56" spans="2:14" x14ac:dyDescent="0.25">
      <c r="B56" s="160">
        <v>53</v>
      </c>
      <c r="C56" s="160">
        <v>26.6</v>
      </c>
      <c r="D56" s="160">
        <v>16.5</v>
      </c>
      <c r="E56" s="160"/>
      <c r="F56" s="160">
        <v>0</v>
      </c>
      <c r="J56" s="162" t="s">
        <v>323</v>
      </c>
      <c r="K56" s="169" t="s">
        <v>165</v>
      </c>
      <c r="L56" s="76">
        <v>555</v>
      </c>
      <c r="M56" s="76"/>
      <c r="N56" s="171">
        <v>3</v>
      </c>
    </row>
    <row r="57" spans="2:14" x14ac:dyDescent="0.25">
      <c r="B57" s="160">
        <v>54</v>
      </c>
      <c r="C57" s="160">
        <v>25.8</v>
      </c>
      <c r="D57" s="160">
        <v>16</v>
      </c>
      <c r="E57" s="160"/>
      <c r="F57" s="160">
        <v>0</v>
      </c>
      <c r="J57" s="162" t="s">
        <v>220</v>
      </c>
      <c r="K57" s="169" t="s">
        <v>169</v>
      </c>
      <c r="L57" s="76">
        <v>420</v>
      </c>
      <c r="M57" s="76"/>
      <c r="N57" s="171">
        <v>4</v>
      </c>
    </row>
    <row r="58" spans="2:14" x14ac:dyDescent="0.25">
      <c r="B58" s="160">
        <v>55</v>
      </c>
      <c r="C58" s="160">
        <v>25</v>
      </c>
      <c r="D58" s="160">
        <v>15.5</v>
      </c>
      <c r="E58" s="160"/>
      <c r="F58" s="160">
        <v>0</v>
      </c>
      <c r="J58" s="162" t="s">
        <v>311</v>
      </c>
      <c r="K58" s="169" t="s">
        <v>166</v>
      </c>
      <c r="L58" s="76">
        <v>672</v>
      </c>
      <c r="M58" s="76"/>
      <c r="N58" s="171">
        <v>3</v>
      </c>
    </row>
    <row r="59" spans="2:14" x14ac:dyDescent="0.25">
      <c r="B59" s="160">
        <v>56</v>
      </c>
      <c r="C59" s="160">
        <v>24.2</v>
      </c>
      <c r="D59" s="160">
        <v>14.4</v>
      </c>
      <c r="E59" s="160"/>
      <c r="F59" s="160">
        <v>0</v>
      </c>
      <c r="J59" s="162" t="s">
        <v>306</v>
      </c>
      <c r="K59" s="169" t="s">
        <v>167</v>
      </c>
      <c r="L59" s="76">
        <v>265</v>
      </c>
      <c r="M59" s="76"/>
      <c r="N59" s="171">
        <v>4</v>
      </c>
    </row>
    <row r="60" spans="2:14" x14ac:dyDescent="0.25">
      <c r="B60" s="160">
        <v>57</v>
      </c>
      <c r="C60" s="160">
        <v>23.4</v>
      </c>
      <c r="D60" s="160">
        <v>13.3</v>
      </c>
      <c r="E60" s="160"/>
      <c r="F60" s="160">
        <v>0</v>
      </c>
      <c r="J60" s="164" t="s">
        <v>316</v>
      </c>
      <c r="K60" s="169" t="s">
        <v>164</v>
      </c>
      <c r="L60" s="76">
        <v>420</v>
      </c>
      <c r="M60" s="76"/>
      <c r="N60" s="171">
        <v>3</v>
      </c>
    </row>
    <row r="61" spans="2:14" x14ac:dyDescent="0.25">
      <c r="B61" s="160">
        <v>58</v>
      </c>
      <c r="C61" s="160">
        <v>22.6</v>
      </c>
      <c r="D61" s="160">
        <v>12.2</v>
      </c>
      <c r="E61" s="160"/>
      <c r="F61" s="160">
        <v>0</v>
      </c>
      <c r="J61" s="164" t="s">
        <v>317</v>
      </c>
      <c r="K61" s="169" t="s">
        <v>165</v>
      </c>
      <c r="L61" s="76">
        <v>555</v>
      </c>
      <c r="M61" s="76"/>
      <c r="N61" s="171">
        <v>3</v>
      </c>
    </row>
    <row r="62" spans="2:14" x14ac:dyDescent="0.25">
      <c r="B62" s="160">
        <v>59</v>
      </c>
      <c r="C62" s="160">
        <v>21.8</v>
      </c>
      <c r="D62" s="160">
        <v>11.1</v>
      </c>
      <c r="E62" s="160"/>
      <c r="F62" s="160">
        <v>0</v>
      </c>
      <c r="J62" s="164" t="s">
        <v>315</v>
      </c>
      <c r="K62" s="169" t="s">
        <v>166</v>
      </c>
      <c r="L62" s="76">
        <v>672</v>
      </c>
      <c r="M62" s="76"/>
      <c r="N62" s="171">
        <v>3</v>
      </c>
    </row>
    <row r="63" spans="2:14" x14ac:dyDescent="0.25">
      <c r="B63" s="160">
        <v>60</v>
      </c>
      <c r="C63" s="160">
        <v>21</v>
      </c>
      <c r="D63" s="160">
        <v>10</v>
      </c>
      <c r="E63" s="160"/>
      <c r="F63" s="160">
        <v>0</v>
      </c>
      <c r="J63" s="163" t="s">
        <v>325</v>
      </c>
      <c r="K63" s="169" t="s">
        <v>168</v>
      </c>
      <c r="L63" s="76">
        <v>325</v>
      </c>
      <c r="M63" s="76"/>
      <c r="N63" s="171">
        <v>4</v>
      </c>
    </row>
    <row r="64" spans="2:14" x14ac:dyDescent="0.25">
      <c r="B64" s="160">
        <v>61</v>
      </c>
      <c r="C64" s="160">
        <v>20.3</v>
      </c>
      <c r="D64" s="160"/>
      <c r="E64" s="160"/>
      <c r="F64" s="160">
        <v>0</v>
      </c>
      <c r="J64" s="163" t="s">
        <v>326</v>
      </c>
      <c r="K64" s="57" t="s">
        <v>169</v>
      </c>
      <c r="L64" s="76">
        <v>420</v>
      </c>
      <c r="M64" s="76"/>
      <c r="N64" s="171">
        <v>4</v>
      </c>
    </row>
    <row r="65" spans="2:14" x14ac:dyDescent="0.25">
      <c r="B65" s="160">
        <v>62</v>
      </c>
      <c r="C65" s="160">
        <v>19.600000000000001</v>
      </c>
      <c r="D65" s="160"/>
      <c r="E65" s="160"/>
      <c r="F65" s="160">
        <v>0</v>
      </c>
      <c r="J65" s="162" t="s">
        <v>307</v>
      </c>
      <c r="K65" s="169" t="s">
        <v>167</v>
      </c>
      <c r="L65" s="76">
        <v>265</v>
      </c>
      <c r="M65" s="76"/>
      <c r="N65" s="171">
        <v>4</v>
      </c>
    </row>
    <row r="66" spans="2:14" x14ac:dyDescent="0.25">
      <c r="B66" s="160">
        <v>63</v>
      </c>
      <c r="C66" s="160">
        <v>18.899999999999999</v>
      </c>
      <c r="D66" s="160"/>
      <c r="E66" s="160"/>
      <c r="F66" s="160">
        <v>0</v>
      </c>
      <c r="J66" s="163" t="s">
        <v>294</v>
      </c>
      <c r="K66" s="135">
        <v>0</v>
      </c>
      <c r="L66" s="76">
        <v>0</v>
      </c>
      <c r="M66" s="76"/>
      <c r="N66" s="171">
        <v>5</v>
      </c>
    </row>
    <row r="67" spans="2:14" x14ac:dyDescent="0.25">
      <c r="B67" s="160">
        <v>64</v>
      </c>
      <c r="C67" s="160">
        <v>18.2</v>
      </c>
      <c r="D67" s="160"/>
      <c r="E67" s="160"/>
      <c r="F67" s="160">
        <v>0</v>
      </c>
      <c r="J67" s="163" t="s">
        <v>40</v>
      </c>
      <c r="K67" s="170"/>
      <c r="L67" s="76"/>
      <c r="M67" s="76">
        <v>180</v>
      </c>
      <c r="N67" s="171"/>
    </row>
    <row r="68" spans="2:14" x14ac:dyDescent="0.25">
      <c r="B68" s="160">
        <v>65</v>
      </c>
      <c r="C68" s="160">
        <v>17.5</v>
      </c>
      <c r="D68" s="160"/>
      <c r="E68" s="160"/>
      <c r="F68" s="160">
        <v>0</v>
      </c>
      <c r="J68" s="163" t="s">
        <v>41</v>
      </c>
      <c r="K68" s="170"/>
      <c r="L68" s="76"/>
      <c r="M68" s="76">
        <v>180</v>
      </c>
      <c r="N68" s="171"/>
    </row>
    <row r="69" spans="2:14" x14ac:dyDescent="0.25">
      <c r="B69" s="160">
        <v>66</v>
      </c>
      <c r="C69" s="160">
        <v>17.3</v>
      </c>
      <c r="D69" s="160"/>
      <c r="E69" s="160"/>
      <c r="F69" s="160">
        <v>0</v>
      </c>
      <c r="J69" s="163" t="s">
        <v>42</v>
      </c>
      <c r="K69" s="170"/>
      <c r="L69" s="76"/>
      <c r="M69" s="76">
        <v>150</v>
      </c>
      <c r="N69" s="171"/>
    </row>
    <row r="70" spans="2:14" x14ac:dyDescent="0.25">
      <c r="B70" s="160">
        <v>67</v>
      </c>
      <c r="C70" s="160">
        <v>17.100000000000001</v>
      </c>
      <c r="D70" s="160"/>
      <c r="E70" s="160"/>
      <c r="F70" s="160">
        <v>0</v>
      </c>
      <c r="J70" s="163" t="s">
        <v>43</v>
      </c>
      <c r="K70" s="170"/>
      <c r="L70" s="76"/>
      <c r="M70" s="76">
        <v>120</v>
      </c>
      <c r="N70" s="171"/>
    </row>
    <row r="71" spans="2:14" x14ac:dyDescent="0.25">
      <c r="B71" s="160">
        <v>68</v>
      </c>
      <c r="C71" s="160">
        <v>16.899999999999999</v>
      </c>
      <c r="D71" s="160"/>
      <c r="E71" s="160"/>
      <c r="F71" s="160">
        <v>0</v>
      </c>
      <c r="J71" s="162" t="s">
        <v>320</v>
      </c>
      <c r="K71" s="169" t="s">
        <v>162</v>
      </c>
      <c r="L71" s="76">
        <v>350</v>
      </c>
      <c r="M71" s="76"/>
      <c r="N71" s="171">
        <v>3</v>
      </c>
    </row>
    <row r="72" spans="2:14" x14ac:dyDescent="0.25">
      <c r="B72" s="160">
        <v>69</v>
      </c>
      <c r="C72" s="160">
        <v>16.7</v>
      </c>
      <c r="D72" s="160"/>
      <c r="E72" s="160"/>
      <c r="F72" s="160">
        <v>0</v>
      </c>
      <c r="J72" s="162" t="s">
        <v>321</v>
      </c>
      <c r="K72" s="169" t="s">
        <v>163</v>
      </c>
      <c r="L72" s="76">
        <v>490</v>
      </c>
      <c r="M72" s="76"/>
      <c r="N72" s="171">
        <v>3</v>
      </c>
    </row>
    <row r="73" spans="2:14" x14ac:dyDescent="0.25">
      <c r="B73" s="160">
        <v>70</v>
      </c>
      <c r="C73" s="160">
        <v>16.5</v>
      </c>
      <c r="D73" s="160"/>
      <c r="E73" s="160"/>
      <c r="F73" s="160">
        <v>0</v>
      </c>
      <c r="J73" s="162" t="s">
        <v>318</v>
      </c>
      <c r="K73" s="169" t="s">
        <v>159</v>
      </c>
      <c r="L73" s="76">
        <v>515</v>
      </c>
      <c r="M73" s="76"/>
      <c r="N73" s="171">
        <v>2</v>
      </c>
    </row>
    <row r="74" spans="2:14" x14ac:dyDescent="0.25">
      <c r="B74" s="160">
        <v>71</v>
      </c>
      <c r="C74" s="160">
        <v>16.3</v>
      </c>
      <c r="D74" s="160"/>
      <c r="E74" s="160"/>
      <c r="F74" s="160">
        <v>0</v>
      </c>
      <c r="J74" s="162" t="s">
        <v>319</v>
      </c>
      <c r="K74" s="169" t="s">
        <v>160</v>
      </c>
      <c r="L74" s="76">
        <v>595</v>
      </c>
      <c r="M74" s="76"/>
      <c r="N74" s="171">
        <v>2</v>
      </c>
    </row>
    <row r="75" spans="2:14" ht="15.75" thickBot="1" x14ac:dyDescent="0.3">
      <c r="B75" s="160">
        <v>72</v>
      </c>
      <c r="C75" s="160">
        <v>16.100000000000001</v>
      </c>
      <c r="D75" s="160"/>
      <c r="E75" s="160"/>
      <c r="F75" s="160">
        <v>0</v>
      </c>
      <c r="J75" s="165" t="s">
        <v>214</v>
      </c>
      <c r="K75" s="166" t="s">
        <v>161</v>
      </c>
      <c r="L75" s="167">
        <v>704</v>
      </c>
      <c r="M75" s="167"/>
      <c r="N75" s="172">
        <v>2</v>
      </c>
    </row>
    <row r="76" spans="2:14" x14ac:dyDescent="0.25">
      <c r="B76" s="160">
        <v>73</v>
      </c>
      <c r="C76" s="160">
        <v>15.9</v>
      </c>
      <c r="D76" s="160"/>
      <c r="E76" s="160"/>
      <c r="F76" s="160">
        <v>0</v>
      </c>
      <c r="J76" s="142"/>
    </row>
    <row r="77" spans="2:14" x14ac:dyDescent="0.25">
      <c r="B77" s="160">
        <v>74</v>
      </c>
      <c r="C77" s="160">
        <v>15.7</v>
      </c>
      <c r="D77" s="160"/>
      <c r="E77" s="160"/>
      <c r="F77" s="160">
        <v>0</v>
      </c>
      <c r="J77" s="142"/>
    </row>
    <row r="78" spans="2:14" x14ac:dyDescent="0.25">
      <c r="B78" s="160">
        <v>75</v>
      </c>
      <c r="C78" s="160">
        <v>15.5</v>
      </c>
      <c r="D78" s="160"/>
      <c r="E78" s="160"/>
      <c r="F78" s="160">
        <v>0</v>
      </c>
      <c r="J78" s="142"/>
    </row>
    <row r="79" spans="2:14" x14ac:dyDescent="0.25">
      <c r="B79" s="160">
        <v>76</v>
      </c>
      <c r="C79" s="160">
        <v>14.4</v>
      </c>
      <c r="D79" s="160"/>
      <c r="E79" s="160"/>
      <c r="F79" s="160">
        <v>0</v>
      </c>
    </row>
    <row r="80" spans="2:14" x14ac:dyDescent="0.25">
      <c r="B80" s="160">
        <v>77</v>
      </c>
      <c r="C80" s="160">
        <v>13.3</v>
      </c>
      <c r="D80" s="160"/>
      <c r="E80" s="160"/>
      <c r="F80" s="160">
        <v>0</v>
      </c>
    </row>
    <row r="81" spans="1:11" x14ac:dyDescent="0.25">
      <c r="B81" s="160">
        <v>78</v>
      </c>
      <c r="C81" s="160">
        <v>12.2</v>
      </c>
      <c r="D81" s="160"/>
      <c r="E81" s="160"/>
      <c r="F81" s="160">
        <v>0</v>
      </c>
      <c r="H81" s="1285"/>
      <c r="I81" s="1285"/>
      <c r="J81" s="1285"/>
      <c r="K81" s="1285"/>
    </row>
    <row r="82" spans="1:11" x14ac:dyDescent="0.25">
      <c r="B82" s="160">
        <v>79</v>
      </c>
      <c r="C82" s="160">
        <v>11.1</v>
      </c>
      <c r="D82" s="160"/>
      <c r="E82" s="160"/>
      <c r="F82" s="160">
        <v>0</v>
      </c>
    </row>
    <row r="83" spans="1:11" x14ac:dyDescent="0.25">
      <c r="B83" s="160">
        <v>80</v>
      </c>
      <c r="C83" s="160">
        <v>10</v>
      </c>
      <c r="D83" s="160"/>
      <c r="E83" s="160"/>
      <c r="F83" s="160">
        <v>0</v>
      </c>
    </row>
    <row r="86" spans="1:11" ht="15.75" thickBot="1" x14ac:dyDescent="0.3"/>
    <row r="87" spans="1:11" x14ac:dyDescent="0.25">
      <c r="A87" s="115" t="s">
        <v>174</v>
      </c>
      <c r="B87" s="81"/>
      <c r="C87" s="81"/>
      <c r="D87" s="81"/>
      <c r="E87" s="81"/>
      <c r="F87" s="81"/>
      <c r="G87" s="81"/>
      <c r="H87" s="81"/>
      <c r="I87" s="116"/>
      <c r="J87" s="58" t="s">
        <v>318</v>
      </c>
      <c r="K87" s="58" t="s">
        <v>159</v>
      </c>
    </row>
    <row r="88" spans="1:11" x14ac:dyDescent="0.25">
      <c r="A88" s="121" t="s">
        <v>10</v>
      </c>
      <c r="B88" s="140" t="str">
        <f>Baulichkeiten!$B$12</f>
        <v>L</v>
      </c>
      <c r="C88" s="123" t="s">
        <v>44</v>
      </c>
      <c r="D88" s="138">
        <f>VLOOKUP(D90,uwe,2)</f>
        <v>0</v>
      </c>
      <c r="E88" s="122" t="s">
        <v>47</v>
      </c>
      <c r="F88" s="122">
        <f>VLOOKUP(D90,uwe,5)</f>
        <v>5</v>
      </c>
      <c r="G88" s="122"/>
      <c r="H88" s="123" t="s">
        <v>7</v>
      </c>
      <c r="I88" s="133">
        <f>Baulichkeiten!$I$13</f>
        <v>0</v>
      </c>
      <c r="J88" s="58" t="s">
        <v>319</v>
      </c>
      <c r="K88" s="58" t="s">
        <v>160</v>
      </c>
    </row>
    <row r="89" spans="1:11" x14ac:dyDescent="0.25">
      <c r="A89" s="124"/>
      <c r="C89" s="78"/>
      <c r="I89" s="125"/>
      <c r="J89" s="58" t="s">
        <v>214</v>
      </c>
      <c r="K89" s="58" t="s">
        <v>161</v>
      </c>
    </row>
    <row r="90" spans="1:11" x14ac:dyDescent="0.25">
      <c r="A90" s="126" t="s">
        <v>156</v>
      </c>
      <c r="B90" s="177">
        <f>VLOOKUP(D90,uwe,3)</f>
        <v>0</v>
      </c>
      <c r="C90" s="128" t="s">
        <v>170</v>
      </c>
      <c r="D90" s="1287" t="str">
        <f>Baulichkeiten!$G$12</f>
        <v>fehlt</v>
      </c>
      <c r="E90" s="1287"/>
      <c r="F90" s="1287"/>
      <c r="G90" s="127"/>
      <c r="H90" s="128" t="s">
        <v>37</v>
      </c>
      <c r="I90" s="178">
        <f>VLOOKUP(I88,nelke,F88)</f>
        <v>0</v>
      </c>
      <c r="J90" s="58" t="s">
        <v>320</v>
      </c>
      <c r="K90" s="58" t="s">
        <v>162</v>
      </c>
    </row>
    <row r="91" spans="1:11" x14ac:dyDescent="0.25">
      <c r="A91" s="120"/>
      <c r="C91" s="78"/>
      <c r="I91" s="117"/>
      <c r="J91" s="58" t="s">
        <v>321</v>
      </c>
      <c r="K91" s="58" t="s">
        <v>163</v>
      </c>
    </row>
    <row r="92" spans="1:11" x14ac:dyDescent="0.25">
      <c r="A92" s="120"/>
      <c r="C92" s="78"/>
      <c r="I92" s="117"/>
      <c r="J92" s="58" t="s">
        <v>322</v>
      </c>
      <c r="K92" s="58" t="s">
        <v>164</v>
      </c>
    </row>
    <row r="93" spans="1:11" x14ac:dyDescent="0.25">
      <c r="A93" s="121" t="s">
        <v>10</v>
      </c>
      <c r="B93" s="140" t="str">
        <f>Baulichkeiten!$B$21</f>
        <v>A1</v>
      </c>
      <c r="C93" s="123" t="s">
        <v>44</v>
      </c>
      <c r="D93" s="138">
        <f>VLOOKUP(D95,uwe,2)</f>
        <v>0</v>
      </c>
      <c r="E93" s="122" t="s">
        <v>47</v>
      </c>
      <c r="F93" s="122">
        <f>VLOOKUP(D95,uwe,5)</f>
        <v>5</v>
      </c>
      <c r="G93" s="1289" t="s">
        <v>7</v>
      </c>
      <c r="H93" s="1289"/>
      <c r="I93" s="133">
        <f>Baulichkeiten!$I$22</f>
        <v>0</v>
      </c>
      <c r="J93" s="58" t="s">
        <v>323</v>
      </c>
      <c r="K93" s="58" t="s">
        <v>165</v>
      </c>
    </row>
    <row r="94" spans="1:11" x14ac:dyDescent="0.25">
      <c r="A94" s="124"/>
      <c r="C94" s="78"/>
      <c r="I94" s="125"/>
      <c r="J94" s="58" t="s">
        <v>311</v>
      </c>
      <c r="K94" s="58" t="s">
        <v>166</v>
      </c>
    </row>
    <row r="95" spans="1:11" x14ac:dyDescent="0.25">
      <c r="A95" s="126" t="s">
        <v>156</v>
      </c>
      <c r="B95" s="177">
        <f>VLOOKUP(D95,uwe,3)</f>
        <v>0</v>
      </c>
      <c r="C95" s="128" t="s">
        <v>170</v>
      </c>
      <c r="D95" s="1287" t="str">
        <f>Baulichkeiten!$G$21</f>
        <v>fehlt</v>
      </c>
      <c r="E95" s="1287"/>
      <c r="F95" s="1287"/>
      <c r="G95" s="127"/>
      <c r="H95" s="128" t="s">
        <v>37</v>
      </c>
      <c r="I95" s="178">
        <f>VLOOKUP(I93,nelke,F93)</f>
        <v>0</v>
      </c>
      <c r="J95" s="136" t="s">
        <v>316</v>
      </c>
      <c r="K95" s="58" t="s">
        <v>164</v>
      </c>
    </row>
    <row r="96" spans="1:11" x14ac:dyDescent="0.25">
      <c r="A96" s="120"/>
      <c r="C96" s="78"/>
      <c r="J96" s="136" t="s">
        <v>317</v>
      </c>
      <c r="K96" s="58" t="s">
        <v>165</v>
      </c>
    </row>
    <row r="97" spans="1:12" x14ac:dyDescent="0.25">
      <c r="A97" s="120"/>
      <c r="C97" s="78"/>
      <c r="J97" s="136" t="s">
        <v>315</v>
      </c>
      <c r="K97" s="58" t="s">
        <v>166</v>
      </c>
    </row>
    <row r="98" spans="1:12" x14ac:dyDescent="0.25">
      <c r="A98" s="121" t="s">
        <v>10</v>
      </c>
      <c r="B98" s="140" t="str">
        <f>Baulichkeiten!$B$30</f>
        <v>A2</v>
      </c>
      <c r="C98" s="123" t="s">
        <v>44</v>
      </c>
      <c r="D98" s="138">
        <f>VLOOKUP(D100,uwe,2)</f>
        <v>0</v>
      </c>
      <c r="E98" s="122" t="s">
        <v>47</v>
      </c>
      <c r="F98" s="122">
        <f>VLOOKUP(D100,uwe,5)</f>
        <v>5</v>
      </c>
      <c r="G98" s="1289" t="s">
        <v>7</v>
      </c>
      <c r="H98" s="1289"/>
      <c r="I98" s="137">
        <f>Baulichkeiten!$I$31</f>
        <v>0</v>
      </c>
      <c r="J98" s="58" t="s">
        <v>306</v>
      </c>
      <c r="K98" s="58" t="s">
        <v>167</v>
      </c>
    </row>
    <row r="99" spans="1:12" x14ac:dyDescent="0.25">
      <c r="A99" s="124"/>
      <c r="C99" s="78"/>
      <c r="J99" s="58" t="s">
        <v>324</v>
      </c>
      <c r="K99" s="58" t="s">
        <v>168</v>
      </c>
    </row>
    <row r="100" spans="1:12" x14ac:dyDescent="0.25">
      <c r="A100" s="126" t="s">
        <v>45</v>
      </c>
      <c r="B100" s="177">
        <f>VLOOKUP(D100,uwe,3)</f>
        <v>0</v>
      </c>
      <c r="C100" s="128" t="s">
        <v>171</v>
      </c>
      <c r="D100" s="1288" t="str">
        <f>Baulichkeiten!$G$30</f>
        <v>fehlt</v>
      </c>
      <c r="E100" s="1288"/>
      <c r="F100" s="1288"/>
      <c r="G100" s="127"/>
      <c r="H100" s="128" t="s">
        <v>37</v>
      </c>
      <c r="I100" s="178">
        <f>VLOOKUP(I98,nelke,F98)</f>
        <v>0</v>
      </c>
      <c r="J100" s="58" t="s">
        <v>220</v>
      </c>
      <c r="K100" s="58" t="s">
        <v>169</v>
      </c>
    </row>
    <row r="101" spans="1:12" x14ac:dyDescent="0.25">
      <c r="A101" s="120"/>
      <c r="C101" s="78"/>
      <c r="D101" s="129"/>
      <c r="E101" s="129"/>
      <c r="F101" s="129"/>
      <c r="H101" s="78"/>
      <c r="J101" s="58" t="s">
        <v>307</v>
      </c>
      <c r="K101" s="58" t="s">
        <v>167</v>
      </c>
    </row>
    <row r="102" spans="1:12" x14ac:dyDescent="0.25">
      <c r="A102" s="120"/>
      <c r="C102" s="78"/>
      <c r="J102" s="59" t="s">
        <v>325</v>
      </c>
      <c r="K102" s="58" t="s">
        <v>168</v>
      </c>
    </row>
    <row r="103" spans="1:12" x14ac:dyDescent="0.25">
      <c r="A103" s="121" t="s">
        <v>10</v>
      </c>
      <c r="B103" s="140" t="str">
        <f>Baulichkeiten!$B$47</f>
        <v>S oder U</v>
      </c>
      <c r="C103" s="123" t="s">
        <v>44</v>
      </c>
      <c r="D103" s="138">
        <f>IF(D105=J87,K87,IF(D105=J88,K88,IF(D105=J89,K89,IF(D105=J90,K90,IF(D105=J91,K91,IF(D105=J92,K92,IF(D105=J93,K93,IF(D105=J94,K94,IF(D105=J95,K95,IF(D105=J96,K96,IF(D105=J97,K97,IF(D105=J98,K98,IF(D105=J99,K99,IF(D105=J100,K100,IF(D105=J101,K101,IF(D105=J102,K102,IF(D105=J103,K103,IF(D105=J104,K104,IF(D105=J105,L105,IF(D105=J106,L106,IF(D105=J104,K104,IF(D105=J108,L108,IF(D105=J19:J109,L109)))))))))))))))))))))))</f>
        <v>0</v>
      </c>
      <c r="E103" s="122" t="s">
        <v>47</v>
      </c>
      <c r="F103" s="122">
        <f>VLOOKUP(D105,uwe,5)</f>
        <v>5</v>
      </c>
      <c r="G103" s="1289" t="s">
        <v>7</v>
      </c>
      <c r="H103" s="1289"/>
      <c r="I103" s="137">
        <f>Baulichkeiten!$I$48</f>
        <v>0</v>
      </c>
      <c r="J103" s="59" t="s">
        <v>326</v>
      </c>
      <c r="K103" s="59" t="s">
        <v>169</v>
      </c>
    </row>
    <row r="104" spans="1:12" x14ac:dyDescent="0.25">
      <c r="A104" s="124"/>
      <c r="C104" s="78"/>
      <c r="J104" s="59" t="s">
        <v>294</v>
      </c>
      <c r="K104" s="135">
        <v>0</v>
      </c>
    </row>
    <row r="105" spans="1:12" x14ac:dyDescent="0.25">
      <c r="A105" s="126" t="s">
        <v>45</v>
      </c>
      <c r="B105" s="177">
        <f>VLOOKUP(D105,uwe,3)</f>
        <v>0</v>
      </c>
      <c r="C105" s="128" t="s">
        <v>171</v>
      </c>
      <c r="D105" s="1287" t="str">
        <f>Baulichkeiten!$G$47</f>
        <v>fehlt</v>
      </c>
      <c r="E105" s="1287"/>
      <c r="F105" s="1287"/>
      <c r="G105" s="127"/>
      <c r="H105" s="128" t="s">
        <v>37</v>
      </c>
      <c r="I105" s="176">
        <f>VLOOKUP(I103,nelke,F103)</f>
        <v>0</v>
      </c>
      <c r="J105" s="1"/>
      <c r="K105" s="1"/>
      <c r="L105" s="7"/>
    </row>
    <row r="106" spans="1:12" x14ac:dyDescent="0.25">
      <c r="J106" s="1013"/>
      <c r="K106" s="1013"/>
      <c r="L106" s="1"/>
    </row>
    <row r="108" spans="1:12" x14ac:dyDescent="0.25">
      <c r="C108" s="1286" t="s">
        <v>306</v>
      </c>
      <c r="D108" s="1286"/>
      <c r="E108" s="1286"/>
      <c r="F108" s="1286"/>
    </row>
    <row r="110" spans="1:12" ht="15.75" thickBot="1" x14ac:dyDescent="0.3">
      <c r="A110" t="s">
        <v>123</v>
      </c>
    </row>
    <row r="111" spans="1:12" x14ac:dyDescent="0.25">
      <c r="A111" s="115" t="s">
        <v>46</v>
      </c>
      <c r="B111" s="81"/>
      <c r="C111" s="81"/>
      <c r="D111" s="81"/>
      <c r="E111" s="81"/>
      <c r="F111" s="116"/>
    </row>
    <row r="112" spans="1:12" x14ac:dyDescent="0.25">
      <c r="A112" s="141" t="s">
        <v>10</v>
      </c>
      <c r="B112" s="142" t="s">
        <v>333</v>
      </c>
      <c r="C112" t="s">
        <v>44</v>
      </c>
      <c r="D112" s="147" t="e">
        <f>#REF!</f>
        <v>#REF!</v>
      </c>
      <c r="E112" t="s">
        <v>47</v>
      </c>
      <c r="F112" s="117">
        <v>6</v>
      </c>
      <c r="H112" s="119" t="s">
        <v>349</v>
      </c>
    </row>
    <row r="113" spans="1:8" x14ac:dyDescent="0.25">
      <c r="A113" s="141"/>
      <c r="F113" s="117"/>
    </row>
    <row r="114" spans="1:8" x14ac:dyDescent="0.25">
      <c r="A114" s="141"/>
      <c r="C114" t="s">
        <v>46</v>
      </c>
      <c r="D114" s="186" t="e">
        <f>VLOOKUP(D112,uwe,4)</f>
        <v>#REF!</v>
      </c>
      <c r="E114" s="143"/>
      <c r="F114" s="117"/>
      <c r="H114" s="139" t="s">
        <v>310</v>
      </c>
    </row>
    <row r="115" spans="1:8" x14ac:dyDescent="0.25">
      <c r="A115" s="141"/>
      <c r="F115" s="117"/>
    </row>
    <row r="116" spans="1:8" x14ac:dyDescent="0.25">
      <c r="A116" s="141"/>
      <c r="F116" s="117"/>
      <c r="H116" s="146" t="s">
        <v>336</v>
      </c>
    </row>
    <row r="117" spans="1:8" x14ac:dyDescent="0.25">
      <c r="A117" s="141" t="s">
        <v>10</v>
      </c>
      <c r="B117" s="142" t="s">
        <v>334</v>
      </c>
      <c r="C117" t="s">
        <v>44</v>
      </c>
      <c r="D117" s="147" t="e">
        <f>#REF!</f>
        <v>#REF!</v>
      </c>
      <c r="E117" t="s">
        <v>47</v>
      </c>
      <c r="F117" s="117">
        <v>6</v>
      </c>
    </row>
    <row r="118" spans="1:8" x14ac:dyDescent="0.25">
      <c r="A118" s="141"/>
      <c r="F118" s="117"/>
      <c r="H118" s="118" t="s">
        <v>337</v>
      </c>
    </row>
    <row r="119" spans="1:8" x14ac:dyDescent="0.25">
      <c r="A119" s="141"/>
      <c r="C119" t="s">
        <v>46</v>
      </c>
      <c r="D119" s="186" t="e">
        <f>VLOOKUP(D117,uwe,4)</f>
        <v>#REF!</v>
      </c>
      <c r="F119" s="117"/>
    </row>
    <row r="120" spans="1:8" x14ac:dyDescent="0.25">
      <c r="A120" s="141"/>
      <c r="F120" s="117"/>
    </row>
    <row r="121" spans="1:8" x14ac:dyDescent="0.25">
      <c r="A121" s="141"/>
      <c r="F121" s="117"/>
    </row>
    <row r="122" spans="1:8" x14ac:dyDescent="0.25">
      <c r="A122" s="141" t="s">
        <v>10</v>
      </c>
      <c r="B122" s="142" t="s">
        <v>335</v>
      </c>
      <c r="C122" t="s">
        <v>44</v>
      </c>
      <c r="D122" s="147" t="e">
        <f>#REF!</f>
        <v>#REF!</v>
      </c>
      <c r="E122" t="s">
        <v>47</v>
      </c>
      <c r="F122" s="117">
        <v>6</v>
      </c>
    </row>
    <row r="123" spans="1:8" x14ac:dyDescent="0.25">
      <c r="A123" s="141"/>
      <c r="F123" s="117"/>
    </row>
    <row r="124" spans="1:8" ht="15.75" thickBot="1" x14ac:dyDescent="0.3">
      <c r="A124" s="144"/>
      <c r="B124" s="80"/>
      <c r="C124" s="80" t="s">
        <v>46</v>
      </c>
      <c r="D124" s="187" t="e">
        <f>VLOOKUP(D122,uwe,4)</f>
        <v>#REF!</v>
      </c>
      <c r="E124" s="80"/>
      <c r="F124" s="145"/>
    </row>
    <row r="126" spans="1:8" ht="15.75" thickBot="1" x14ac:dyDescent="0.3"/>
    <row r="127" spans="1:8" x14ac:dyDescent="0.25">
      <c r="B127" s="115"/>
      <c r="C127" s="81"/>
      <c r="D127" s="81"/>
      <c r="E127" s="81"/>
      <c r="F127" s="81"/>
      <c r="G127" s="116"/>
    </row>
    <row r="128" spans="1:8" x14ac:dyDescent="0.25">
      <c r="B128" s="120" t="s">
        <v>44</v>
      </c>
      <c r="C128" s="118" t="s">
        <v>154</v>
      </c>
      <c r="E128" t="s">
        <v>47</v>
      </c>
      <c r="F128" t="s">
        <v>14</v>
      </c>
      <c r="G128" s="117" t="s">
        <v>46</v>
      </c>
    </row>
    <row r="129" spans="1:7" x14ac:dyDescent="0.25">
      <c r="B129" s="120">
        <v>1</v>
      </c>
      <c r="C129" s="180"/>
      <c r="G129" s="117"/>
    </row>
    <row r="130" spans="1:7" x14ac:dyDescent="0.25">
      <c r="A130" s="179"/>
      <c r="B130" s="181" t="s">
        <v>40</v>
      </c>
      <c r="C130" s="134" t="s">
        <v>40</v>
      </c>
      <c r="D130" s="134"/>
      <c r="E130" s="134"/>
      <c r="F130" s="134"/>
      <c r="G130" s="182">
        <v>180</v>
      </c>
    </row>
    <row r="131" spans="1:7" x14ac:dyDescent="0.25">
      <c r="B131" s="181" t="s">
        <v>159</v>
      </c>
      <c r="C131" s="134" t="s">
        <v>213</v>
      </c>
      <c r="D131" s="134"/>
      <c r="E131" s="134">
        <v>2</v>
      </c>
      <c r="F131" s="134">
        <v>515</v>
      </c>
      <c r="G131" s="182"/>
    </row>
    <row r="132" spans="1:7" x14ac:dyDescent="0.25">
      <c r="B132" s="181" t="s">
        <v>160</v>
      </c>
      <c r="C132" s="134" t="s">
        <v>295</v>
      </c>
      <c r="D132" s="134"/>
      <c r="E132" s="134">
        <v>2</v>
      </c>
      <c r="F132" s="134">
        <v>595</v>
      </c>
      <c r="G132" s="182"/>
    </row>
    <row r="133" spans="1:7" x14ac:dyDescent="0.25">
      <c r="B133" s="181" t="s">
        <v>161</v>
      </c>
      <c r="C133" s="134" t="s">
        <v>214</v>
      </c>
      <c r="D133" s="134"/>
      <c r="E133" s="134">
        <v>2</v>
      </c>
      <c r="F133" s="134">
        <v>704</v>
      </c>
      <c r="G133" s="182"/>
    </row>
    <row r="134" spans="1:7" x14ac:dyDescent="0.25">
      <c r="B134" s="181" t="s">
        <v>41</v>
      </c>
      <c r="C134" s="134" t="s">
        <v>41</v>
      </c>
      <c r="D134" s="134"/>
      <c r="E134" s="134">
        <v>3</v>
      </c>
      <c r="F134" s="134"/>
      <c r="G134" s="182">
        <v>180</v>
      </c>
    </row>
    <row r="135" spans="1:7" x14ac:dyDescent="0.25">
      <c r="B135" s="181" t="s">
        <v>162</v>
      </c>
      <c r="C135" s="134" t="s">
        <v>215</v>
      </c>
      <c r="D135" s="134"/>
      <c r="E135" s="134">
        <v>3</v>
      </c>
      <c r="F135" s="134">
        <v>350</v>
      </c>
      <c r="G135" s="182"/>
    </row>
    <row r="136" spans="1:7" x14ac:dyDescent="0.25">
      <c r="B136" s="181" t="s">
        <v>163</v>
      </c>
      <c r="C136" s="134" t="s">
        <v>216</v>
      </c>
      <c r="D136" s="134"/>
      <c r="E136" s="134">
        <v>3</v>
      </c>
      <c r="F136" s="134">
        <v>490</v>
      </c>
      <c r="G136" s="182"/>
    </row>
    <row r="137" spans="1:7" x14ac:dyDescent="0.25">
      <c r="A137" t="s">
        <v>153</v>
      </c>
      <c r="B137" s="181" t="s">
        <v>42</v>
      </c>
      <c r="C137" s="134" t="s">
        <v>42</v>
      </c>
      <c r="D137" s="134"/>
      <c r="E137" s="134">
        <v>3</v>
      </c>
      <c r="F137" s="134"/>
      <c r="G137" s="182">
        <v>150</v>
      </c>
    </row>
    <row r="138" spans="1:7" x14ac:dyDescent="0.25">
      <c r="B138" s="181" t="s">
        <v>164</v>
      </c>
      <c r="C138" s="134" t="s">
        <v>217</v>
      </c>
      <c r="D138" s="134"/>
      <c r="E138" s="134">
        <v>3</v>
      </c>
      <c r="F138" s="134">
        <v>420</v>
      </c>
      <c r="G138" s="182"/>
    </row>
    <row r="139" spans="1:7" x14ac:dyDescent="0.25">
      <c r="B139" s="181" t="s">
        <v>165</v>
      </c>
      <c r="C139" s="134" t="s">
        <v>218</v>
      </c>
      <c r="D139" s="134"/>
      <c r="E139" s="134">
        <v>3</v>
      </c>
      <c r="F139" s="134">
        <v>555</v>
      </c>
      <c r="G139" s="182"/>
    </row>
    <row r="140" spans="1:7" x14ac:dyDescent="0.25">
      <c r="B140" s="181" t="s">
        <v>166</v>
      </c>
      <c r="C140" s="134" t="s">
        <v>305</v>
      </c>
      <c r="D140" s="134"/>
      <c r="E140" s="134">
        <v>3</v>
      </c>
      <c r="F140" s="134">
        <v>672</v>
      </c>
      <c r="G140" s="182"/>
    </row>
    <row r="141" spans="1:7" x14ac:dyDescent="0.25">
      <c r="B141" s="181" t="s">
        <v>164</v>
      </c>
      <c r="C141" s="134" t="s">
        <v>312</v>
      </c>
      <c r="D141" s="134"/>
      <c r="E141" s="134">
        <v>3</v>
      </c>
      <c r="F141" s="134">
        <v>420</v>
      </c>
      <c r="G141" s="182"/>
    </row>
    <row r="142" spans="1:7" x14ac:dyDescent="0.25">
      <c r="B142" s="181" t="s">
        <v>165</v>
      </c>
      <c r="C142" s="134" t="s">
        <v>313</v>
      </c>
      <c r="D142" s="134"/>
      <c r="E142" s="134">
        <v>3</v>
      </c>
      <c r="F142" s="134">
        <v>555</v>
      </c>
      <c r="G142" s="182"/>
    </row>
    <row r="143" spans="1:7" x14ac:dyDescent="0.25">
      <c r="B143" s="181" t="s">
        <v>166</v>
      </c>
      <c r="C143" s="134" t="s">
        <v>314</v>
      </c>
      <c r="D143" s="134"/>
      <c r="E143" s="134">
        <v>3</v>
      </c>
      <c r="F143" s="134">
        <v>672</v>
      </c>
      <c r="G143" s="182"/>
    </row>
    <row r="144" spans="1:7" x14ac:dyDescent="0.25">
      <c r="A144" t="s">
        <v>153</v>
      </c>
      <c r="B144" s="181" t="s">
        <v>43</v>
      </c>
      <c r="C144" s="134" t="s">
        <v>43</v>
      </c>
      <c r="D144" s="134"/>
      <c r="E144" s="134">
        <v>4</v>
      </c>
      <c r="F144" s="134"/>
      <c r="G144" s="182">
        <v>120</v>
      </c>
    </row>
    <row r="145" spans="2:7" x14ac:dyDescent="0.25">
      <c r="B145" s="181" t="s">
        <v>167</v>
      </c>
      <c r="C145" s="134" t="s">
        <v>306</v>
      </c>
      <c r="D145" s="134"/>
      <c r="E145" s="134">
        <v>4</v>
      </c>
      <c r="F145" s="134">
        <v>265</v>
      </c>
      <c r="G145" s="182"/>
    </row>
    <row r="146" spans="2:7" x14ac:dyDescent="0.25">
      <c r="B146" s="181" t="s">
        <v>168</v>
      </c>
      <c r="C146" s="134" t="s">
        <v>219</v>
      </c>
      <c r="D146" s="134"/>
      <c r="E146" s="134">
        <v>4</v>
      </c>
      <c r="F146" s="134">
        <v>325</v>
      </c>
      <c r="G146" s="182"/>
    </row>
    <row r="147" spans="2:7" x14ac:dyDescent="0.25">
      <c r="B147" s="181" t="s">
        <v>169</v>
      </c>
      <c r="C147" s="134" t="s">
        <v>220</v>
      </c>
      <c r="D147" s="134"/>
      <c r="E147" s="134">
        <v>4</v>
      </c>
      <c r="F147" s="134">
        <v>420</v>
      </c>
      <c r="G147" s="182"/>
    </row>
    <row r="148" spans="2:7" x14ac:dyDescent="0.25">
      <c r="B148" s="181" t="s">
        <v>167</v>
      </c>
      <c r="C148" s="134" t="s">
        <v>307</v>
      </c>
      <c r="D148" s="134"/>
      <c r="E148" s="134">
        <v>4</v>
      </c>
      <c r="F148" s="134">
        <v>265</v>
      </c>
      <c r="G148" s="182"/>
    </row>
    <row r="149" spans="2:7" x14ac:dyDescent="0.25">
      <c r="B149" s="181" t="s">
        <v>168</v>
      </c>
      <c r="C149" s="134" t="s">
        <v>308</v>
      </c>
      <c r="D149" s="134"/>
      <c r="E149" s="134">
        <v>4</v>
      </c>
      <c r="F149" s="134">
        <v>325</v>
      </c>
      <c r="G149" s="182"/>
    </row>
    <row r="150" spans="2:7" x14ac:dyDescent="0.25">
      <c r="B150" s="181" t="s">
        <v>169</v>
      </c>
      <c r="C150" s="134" t="s">
        <v>221</v>
      </c>
      <c r="D150" s="134"/>
      <c r="E150" s="134">
        <v>4</v>
      </c>
      <c r="F150" s="134">
        <v>420</v>
      </c>
      <c r="G150" s="182"/>
    </row>
    <row r="151" spans="2:7" ht="15.75" thickBot="1" x14ac:dyDescent="0.3">
      <c r="B151" s="183">
        <v>0</v>
      </c>
      <c r="C151" s="184" t="s">
        <v>294</v>
      </c>
      <c r="D151" s="184"/>
      <c r="E151" s="184">
        <v>5</v>
      </c>
      <c r="F151" s="184">
        <v>0</v>
      </c>
      <c r="G151" s="185">
        <v>0</v>
      </c>
    </row>
    <row r="153" spans="2:7" x14ac:dyDescent="0.25">
      <c r="E153" t="s">
        <v>172</v>
      </c>
    </row>
    <row r="154" spans="2:7" x14ac:dyDescent="0.25">
      <c r="B154" t="s">
        <v>155</v>
      </c>
      <c r="F154">
        <v>3</v>
      </c>
    </row>
    <row r="155" spans="2:7" x14ac:dyDescent="0.25">
      <c r="F155">
        <v>4</v>
      </c>
    </row>
    <row r="156" spans="2:7" x14ac:dyDescent="0.25">
      <c r="F156">
        <v>5</v>
      </c>
    </row>
    <row r="157" spans="2:7" x14ac:dyDescent="0.25">
      <c r="F157">
        <v>7</v>
      </c>
    </row>
    <row r="158" spans="2:7" x14ac:dyDescent="0.25">
      <c r="F158">
        <v>10</v>
      </c>
    </row>
    <row r="159" spans="2:7" x14ac:dyDescent="0.25">
      <c r="F159">
        <v>0</v>
      </c>
    </row>
  </sheetData>
  <sheetProtection algorithmName="SHA-512" hashValue="8jqKXfy1G4SBPw7AHDRhiSvBNRydNrTSAkbZ1jPpSSzdlV4rQlP5v0SvC2CSkyMUA0SpRcUO5Ia5mEPpB382Hw==" saltValue="x7D02kj4B+umeQlxNOg/Sg==" spinCount="100000" sheet="1" selectLockedCells="1" selectUnlockedCells="1"/>
  <mergeCells count="10">
    <mergeCell ref="H81:K81"/>
    <mergeCell ref="C108:F108"/>
    <mergeCell ref="D90:F90"/>
    <mergeCell ref="D95:F95"/>
    <mergeCell ref="D105:F105"/>
    <mergeCell ref="J106:K106"/>
    <mergeCell ref="D100:F100"/>
    <mergeCell ref="G93:H93"/>
    <mergeCell ref="G98:H98"/>
    <mergeCell ref="G103:H103"/>
  </mergeCells>
  <dataValidations count="1">
    <dataValidation type="list" allowBlank="1" showInputMessage="1" showErrorMessage="1" sqref="C108" xr:uid="{EE948839-1C10-4FB5-A0EF-46796A226C45}">
      <formula1>$N$44:$N$61</formula1>
    </dataValidation>
  </dataValidations>
  <pageMargins left="0.7" right="0.7" top="0.78740157499999996" bottom="0.78740157499999996" header="0.3" footer="0.3"/>
  <pageSetup paperSize="9"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21</vt:i4>
      </vt:variant>
      <vt:variant>
        <vt:lpstr>Benannte Bereiche</vt:lpstr>
      </vt:variant>
      <vt:variant>
        <vt:i4>21</vt:i4>
      </vt:variant>
    </vt:vector>
  </HeadingPairs>
  <TitlesOfParts>
    <vt:vector size="42" baseType="lpstr">
      <vt:lpstr>Formalien</vt:lpstr>
      <vt:lpstr>Deckbl UPV </vt:lpstr>
      <vt:lpstr>Baulichkeiten</vt:lpstr>
      <vt:lpstr>Mängelliste</vt:lpstr>
      <vt:lpstr>Außenanlagen</vt:lpstr>
      <vt:lpstr>Aufwuchs I</vt:lpstr>
      <vt:lpstr>Aufwuchs II</vt:lpstr>
      <vt:lpstr>AnlIV (Blatt 3)ASG</vt:lpstr>
      <vt:lpstr>Anl IV Schuppen</vt:lpstr>
      <vt:lpstr>Anl IV Dach</vt:lpstr>
      <vt:lpstr>Deckbl UPV neu (Sicherheit)</vt:lpstr>
      <vt:lpstr>Deckbl UPV  (alt)</vt:lpstr>
      <vt:lpstr>Deckbl Auftragsgutachten</vt:lpstr>
      <vt:lpstr>Beseitigungsauflagen</vt:lpstr>
      <vt:lpstr>Bewertung Aufwuchs</vt:lpstr>
      <vt:lpstr>Bewertung Außenanlagen</vt:lpstr>
      <vt:lpstr>Beseitigungskosten</vt:lpstr>
      <vt:lpstr>Skizze Bau</vt:lpstr>
      <vt:lpstr>Skizze Außenanlage-Aufwuchs</vt:lpstr>
      <vt:lpstr>Abkürzungsverzeichnis</vt:lpstr>
      <vt:lpstr>Tabelle1</vt:lpstr>
      <vt:lpstr>BKL.Beschreibung</vt:lpstr>
      <vt:lpstr>'Anl IV Dach'!Druckbereich</vt:lpstr>
      <vt:lpstr>'Anl IV Schuppen'!Druckbereich</vt:lpstr>
      <vt:lpstr>'Aufwuchs I'!Druckbereich</vt:lpstr>
      <vt:lpstr>Außenanlagen!Druckbereich</vt:lpstr>
      <vt:lpstr>Baulichkeiten!Druckbereich</vt:lpstr>
      <vt:lpstr>Beseitigungskosten!Druckbereich</vt:lpstr>
      <vt:lpstr>'Deckbl UPV '!Druckbereich</vt:lpstr>
      <vt:lpstr>Mängelliste!Druckbereich</vt:lpstr>
      <vt:lpstr>'Skizze Außenanlage-Aufwuchs'!Druckbereich</vt:lpstr>
      <vt:lpstr>'Skizze Bau'!Druckbereich</vt:lpstr>
      <vt:lpstr>Beseitigungskosten!Gutachten</vt:lpstr>
      <vt:lpstr>Jürgen</vt:lpstr>
      <vt:lpstr>'Anl IV Schuppen'!Kinderspielhaus</vt:lpstr>
      <vt:lpstr>nelke</vt:lpstr>
      <vt:lpstr>rose</vt:lpstr>
      <vt:lpstr>typen</vt:lpstr>
      <vt:lpstr>ungeprüft</vt:lpstr>
      <vt:lpstr>uwe</vt:lpstr>
      <vt:lpstr>uwe.2</vt:lpstr>
      <vt:lpstr>Beseitigungskosten!wasserlos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Simon Bleher</cp:lastModifiedBy>
  <cp:lastPrinted>2026-09-07T15:16:29Z</cp:lastPrinted>
  <dcterms:created xsi:type="dcterms:W3CDTF">2016-11-04T16:34:30Z</dcterms:created>
  <dcterms:modified xsi:type="dcterms:W3CDTF">2026-10-16T14:33:33Z</dcterms:modified>
</cp:coreProperties>
</file>